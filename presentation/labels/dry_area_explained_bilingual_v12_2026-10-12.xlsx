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 Overview" sheetId="1" state="visible" r:id="rId3"/>
    <sheet name="المناطق الست Areas" sheetId="2" state="visible" r:id="rId4"/>
    <sheet name="فئات الارتفاع Heights" sheetId="3" state="visible" r:id="rId5"/>
    <sheet name="المحتويات Contents" sheetId="4" state="visible" r:id="rId6"/>
    <sheet name="المساحة والإشغال Area" sheetId="5" state="visible" r:id="rId7"/>
    <sheet name="الثوابت Constants" sheetId="6" state="visible" r:id="rId8"/>
    <sheet name="قرارات مفتوحة Ope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<sst xmlns="http://schemas.openxmlformats.org/spreadsheetml/2006/main" count="251" uniqueCount="221">
  <si>
    <t xml:space="preserve">المنطقة الجافة — شرح ثنائي اللغة · Dry Area Explained (AR/EN)</t>
  </si>
  <si>
    <t xml:space="preserve">عربي</t>
  </si>
  <si>
    <t xml:space="preserve">English</t>
  </si>
  <si>
    <t xml:space="preserve">البالت الخشبي القياسي 1200×1000 مم، قاعدته 15 سم.</t>
  </si>
  <si>
    <t xml:space="preserve">Standard 1200×1000 mm wooden pallet, 15 cm base.</t>
  </si>
  <si>
    <t xml:space="preserve">عدد الراكات الكلي / مواقع الطبالي:</t>
  </si>
  <si>
    <t xml:space="preserve">Total racks / pallet locations:</t>
  </si>
  <si>
    <t xml:space="preserve">القاعدة: ارتفاع الراك = ارتفاع الطبلية + 15 سم.</t>
  </si>
  <si>
    <t xml:space="preserve">Rule: rack clearance = pallet height + 15 cm.</t>
  </si>
  <si>
    <t xml:space="preserve">3 مقاسات راك: 246 (الكراتين) · 195 (نشا/سحاب/بلاستيك عالي) · 175 (البقية).</t>
  </si>
  <si>
    <t xml:space="preserve">3 rack heights: 246 (cartons) · 195 (starch/zip/tall plastic) · 175 (rest).</t>
  </si>
  <si>
    <t xml:space="preserve">طبلية الكرتون 230 سم → راك 246 فقط، ولا يصح وضعها في مكان آخر.</t>
  </si>
  <si>
    <t xml:space="preserve">Carton pallet 230 cm → 246 racks only, nowhere else.</t>
  </si>
  <si>
    <t xml:space="preserve">النشا + الدقيق + أدوات التشكيل في منطقة واحدة؛ النشا مع البهارات.</t>
  </si>
  <si>
    <t xml:space="preserve">Starch + flour + forming tools in one area; starch with spices.</t>
  </si>
  <si>
    <t xml:space="preserve">أكياس السحاب مع التغليف؛ قسم 195 يستضيف النشا والسحاب.</t>
  </si>
  <si>
    <t xml:space="preserve">Zip bags with packaging; the 195 section hosts both.</t>
  </si>
  <si>
    <t xml:space="preserve">عند زيادة الأصناف: مناصفة الراك (سفلي/علوي).</t>
  </si>
  <si>
    <t xml:space="preserve">If items exceed racks: split the rack (lower/upper).</t>
  </si>
  <si>
    <t xml:space="preserve">عمق الراك 5 طبالي · 6 مناطق (3 قطاعات × يمين/يسار).</t>
  </si>
  <si>
    <t xml:space="preserve">Rack depth 5 pallets · 6 areas (3 zones × right/left).</t>
  </si>
  <si>
    <t xml:space="preserve">الأرقام مرتبطة بصيغ — عدّل الخلايا الزرقاء فقط.</t>
  </si>
  <si>
    <t xml:space="preserve">Numbers are formula-linked — edit blue cells only.</t>
  </si>
  <si>
    <t xml:space="preserve">&lt;!-- VERSION: v12 | 2026-10-12 --&gt;</t>
  </si>
  <si>
    <t xml:space="preserve">المناطق الست للمنطقة الجافة · The Six Dry Areas</t>
  </si>
  <si>
    <t xml:space="preserve">الرمز
Code</t>
  </si>
  <si>
    <t xml:space="preserve">الجهة
Side</t>
  </si>
  <si>
    <t xml:space="preserve">الاسم (عربي)
Name AR</t>
  </si>
  <si>
    <t xml:space="preserve">Name EN</t>
  </si>
  <si>
    <t xml:space="preserve">عدد الراكات
Racks</t>
  </si>
  <si>
    <t xml:space="preserve">الأدوار
Levels</t>
  </si>
  <si>
    <t xml:space="preserve">ارتفاع الراك سم
Rack h (cm)</t>
  </si>
  <si>
    <t xml:space="preserve">أقصى طبلية سم
Max pallet (cm)</t>
  </si>
  <si>
    <t xml:space="preserve">مواقع الطبالي
Pallet locs</t>
  </si>
  <si>
    <t xml:space="preserve">راكات مشغولة
Racks used</t>
  </si>
  <si>
    <t xml:space="preserve">راكات فارغة
Racks free</t>
  </si>
  <si>
    <t xml:space="preserve">نسبة الإشغال
Used %</t>
  </si>
  <si>
    <t xml:space="preserve">مواقع مشغولة
Locs used</t>
  </si>
  <si>
    <t xml:space="preserve">مواقع فارغة
Locs free</t>
  </si>
  <si>
    <t xml:space="preserve">Z1-R</t>
  </si>
  <si>
    <t xml:space="preserve">يمين R</t>
  </si>
  <si>
    <t xml:space="preserve">البلاستيك</t>
  </si>
  <si>
    <t xml:space="preserve">PLASTIC ROLLS</t>
  </si>
  <si>
    <t xml:space="preserve">Z1-L</t>
  </si>
  <si>
    <t xml:space="preserve">يسار L</t>
  </si>
  <si>
    <t xml:space="preserve">العلب والمستلزمات</t>
  </si>
  <si>
    <t xml:space="preserve">BOXES &amp; SUPPLIES</t>
  </si>
  <si>
    <t xml:space="preserve">Z2-R</t>
  </si>
  <si>
    <t xml:space="preserve">بقسماط وخلطات</t>
  </si>
  <si>
    <t xml:space="preserve">CRUMBS &amp; MIXES</t>
  </si>
  <si>
    <t xml:space="preserve">Z2-L</t>
  </si>
  <si>
    <t xml:space="preserve">زيوت ونكهات ونشا</t>
  </si>
  <si>
    <t xml:space="preserve">OILS · FLAVOURS · STARCH</t>
  </si>
  <si>
    <t xml:space="preserve">Z3-R</t>
  </si>
  <si>
    <t xml:space="preserve">التحضير والبهارات</t>
  </si>
  <si>
    <t xml:space="preserve">PREP &amp; SPICES</t>
  </si>
  <si>
    <t xml:space="preserve">Z3-L</t>
  </si>
  <si>
    <t xml:space="preserve">الكراتين</t>
  </si>
  <si>
    <t xml:space="preserve">CARTONS</t>
  </si>
  <si>
    <t xml:space="preserve">المجموع</t>
  </si>
  <si>
    <t xml:space="preserve">Total</t>
  </si>
  <si>
    <t xml:space="preserve">مواقع الطبالي = راكات × أدوار × عدد الطبالي بالعمق (5) · Pallet locations = racks × levels × pallets deep (5)</t>
  </si>
  <si>
    <t xml:space="preserve">أقصى طبلية = ارتفاع الراك − 15 سم قاعدة البالت · Max pallet = rack height − 15 cm pallet base</t>
  </si>
  <si>
    <t xml:space="preserve">الراكات المشغولة تُحسب من شيت المحتويات (SUMIF) · Used racks are summed from the Contents sheet</t>
  </si>
  <si>
    <t xml:space="preserve">التوزيع مقترح وليس نهائياً · The allocation is a proposal, not final</t>
  </si>
  <si>
    <t xml:space="preserve">فئات الارتفاع الثلاث · Three Rack Height Classes</t>
  </si>
  <si>
    <t xml:space="preserve">ارتفاع الراك سم
Rack height</t>
  </si>
  <si>
    <t xml:space="preserve">أقصى طبلية سم
Max pallet</t>
  </si>
  <si>
    <t xml:space="preserve">المناسب لها (عربي)</t>
  </si>
  <si>
    <t xml:space="preserve">Fits (EN)</t>
  </si>
  <si>
    <t xml:space="preserve">ملاحظة / Note</t>
  </si>
  <si>
    <t xml:space="preserve">الكراتين (طبلية 230 سم) — 4 أدوار</t>
  </si>
  <si>
    <t xml:space="preserve">Cartons (230 cm pallet) — 4 levels</t>
  </si>
  <si>
    <t xml:space="preserve">الكراتين لا تصلح إلا هنا · Cartons fit only here</t>
  </si>
  <si>
    <t xml:space="preserve">النشا · أكياس السحاب · البلاستيك العالي (حتى 180) + زيوت ونكهات</t>
  </si>
  <si>
    <t xml:space="preserve">Starch · zip bags · tall plastic (≤180) + oils &amp; flavours</t>
  </si>
  <si>
    <t xml:space="preserve">180+15=195 للأدوار العليا · 180+15=195 for upper levels</t>
  </si>
  <si>
    <t xml:space="preserve">بقية الأصناف (طبلية حتى 160)؛ الدور الأول A حتى 180</t>
  </si>
  <si>
    <t xml:space="preserve">All other items (pallet ≤160); level A up to 180</t>
  </si>
  <si>
    <t xml:space="preserve">الدور A: يُتحقق من الارتفاع الفعلي · verify clear height of level A</t>
  </si>
  <si>
    <t xml:space="preserve">المجموع Total</t>
  </si>
  <si>
    <t xml:space="preserve">القاعدة: ارتفاع الراك المطلوب = ارتفاع الطبلية + 15 سم · Rule: required rack clearance = pallet height + 15 cm</t>
  </si>
  <si>
    <t xml:space="preserve">أحمد: هل منطقي أن المنطقة الجافة 3 مقاسات (246 / 195 / 175)؟ نعم · Yes — three heights confirmed</t>
  </si>
  <si>
    <t xml:space="preserve">محتويات كل منطقة · Contents per Area</t>
  </si>
  <si>
    <t xml:space="preserve">رمز المنطقة
Area</t>
  </si>
  <si>
    <t xml:space="preserve">المجموعة (عربي)
Group AR</t>
  </si>
  <si>
    <t xml:space="preserve">Group EN</t>
  </si>
  <si>
    <t xml:space="preserve">الأصناف
Items</t>
  </si>
  <si>
    <t xml:space="preserve">الراكات
Racks</t>
  </si>
  <si>
    <t xml:space="preserve">راكات مشتركة
Shared racks</t>
  </si>
  <si>
    <t xml:space="preserve">مواقع
Locations</t>
  </si>
  <si>
    <t xml:space="preserve">نوع
Type</t>
  </si>
  <si>
    <t xml:space="preserve">ملاحظة
Note</t>
  </si>
  <si>
    <t xml:space="preserve">رولات البلاستيك</t>
  </si>
  <si>
    <t xml:space="preserve">25 صنفاً على 19 راكاً: 6 مشتركة (علوي/سفلي) · 25 items on 19 racks, 6 shared</t>
  </si>
  <si>
    <t xml:space="preserve">علب التعبئة</t>
  </si>
  <si>
    <t xml:space="preserve">PACKING BOXES</t>
  </si>
  <si>
    <t xml:space="preserve">راك واحد احتياطي · 1 spare rack</t>
  </si>
  <si>
    <t xml:space="preserve">مستلزمات التعبئة</t>
  </si>
  <si>
    <t xml:space="preserve">PACKING SUPPLIES</t>
  </si>
  <si>
    <t xml:space="preserve">أكياس السحاب تُضاف هنا (تحتاج راك 195) · zip bags belong here (need 195)</t>
  </si>
  <si>
    <t xml:space="preserve">التشكيل · بقسماط وخلطات</t>
  </si>
  <si>
    <t xml:space="preserve">FORMING · CRUMBS &amp; MIXES</t>
  </si>
  <si>
    <t xml:space="preserve">توزيع 3,3,3,3,3,2,2 راك</t>
  </si>
  <si>
    <t xml:space="preserve">التشكيل · زيوت ونكهات</t>
  </si>
  <si>
    <t xml:space="preserve">FORMING · OILS &amp; FLAVOURS</t>
  </si>
  <si>
    <t xml:space="preserve">نكهات 2+2 · زيوت 4+4+4+4 — المنطقة ممتلئة · area is full</t>
  </si>
  <si>
    <t xml:space="preserve">التحضير</t>
  </si>
  <si>
    <t xml:space="preserve">PREPARATION</t>
  </si>
  <si>
    <t xml:space="preserve">افتراض راك لكل صنف · assumed 1 rack/item</t>
  </si>
  <si>
    <t xml:space="preserve">البهارات</t>
  </si>
  <si>
    <t xml:space="preserve">SPICES</t>
  </si>
  <si>
    <t xml:space="preserve">13 صنفاً على 5 راكات مشتركة · النشا يُضاف هنا (يحتاج 195)</t>
  </si>
  <si>
    <t xml:space="preserve">طبلية 230 سم — راك 246 فقط · 246 racks only</t>
  </si>
  <si>
    <t xml:space="preserve">مصدر الأصناف: DISTRIBUTION_v3.md + مولدات التشكيل والبهارات · Source: DISTRIBUTION_v3.md + forming/spices generators</t>
  </si>
  <si>
    <t xml:space="preserve">المساحة والإشغال · Floor Area &amp; Occupancy</t>
  </si>
  <si>
    <t xml:space="preserve">البند
Item</t>
  </si>
  <si>
    <t xml:space="preserve">Item (EN)</t>
  </si>
  <si>
    <t xml:space="preserve">القيمة
Value</t>
  </si>
  <si>
    <t xml:space="preserve">طريقة الحساب
How</t>
  </si>
  <si>
    <t xml:space="preserve">مساحة الغرفة الإجمالية م²</t>
  </si>
  <si>
    <t xml:space="preserve">Total room area m²</t>
  </si>
  <si>
    <t xml:space="preserve">العرض × الطول (تقديري) · width × length (estimate)</t>
  </si>
  <si>
    <t xml:space="preserve">مساحة الممر الرئيسي م²</t>
  </si>
  <si>
    <t xml:space="preserve">Main aisle area m²</t>
  </si>
  <si>
    <t xml:space="preserve">عرض × طول الممر · aisle w × l</t>
  </si>
  <si>
    <t xml:space="preserve">مساحة الراك الواحد م²</t>
  </si>
  <si>
    <t xml:space="preserve">Footprint per rack m²</t>
  </si>
  <si>
    <t xml:space="preserve">1.69 × 0.95 × 5</t>
  </si>
  <si>
    <t xml:space="preserve">إجمالي مساحة الراكات م²</t>
  </si>
  <si>
    <t xml:space="preserve">Total rack footprint m²</t>
  </si>
  <si>
    <t xml:space="preserve">راكات × مساحة الراك · racks × footprint</t>
  </si>
  <si>
    <t xml:space="preserve">المساحة المستغلة (راكات مشغولة) م²</t>
  </si>
  <si>
    <t xml:space="preserve">Used rack area m²</t>
  </si>
  <si>
    <t xml:space="preserve">راكات مشغولة × مساحة · used racks × footprint</t>
  </si>
  <si>
    <t xml:space="preserve">المساحة المتبقية (راكات فارغة) م²</t>
  </si>
  <si>
    <t xml:space="preserve">Free rack area m²</t>
  </si>
  <si>
    <t xml:space="preserve">راكات فارغة × مساحة · free racks × footprint</t>
  </si>
  <si>
    <t xml:space="preserve">نسبة الاستغلال من الراكات</t>
  </si>
  <si>
    <t xml:space="preserve">Used % of racks</t>
  </si>
  <si>
    <t xml:space="preserve">نسبة الراكات من الغرفة</t>
  </si>
  <si>
    <t xml:space="preserve">Racks % of room</t>
  </si>
  <si>
    <t xml:space="preserve">نسبة الممر من الغرفة</t>
  </si>
  <si>
    <t xml:space="preserve">Aisle % of room</t>
  </si>
  <si>
    <t xml:space="preserve">باقي الغرفة (فواصل/أبواب/هوامش) م²</t>
  </si>
  <si>
    <t xml:space="preserve">Other (gaps/doors/margins) m²</t>
  </si>
  <si>
    <t xml:space="preserve">الغرفة − ممر − راكات · room − aisle − racks</t>
  </si>
  <si>
    <t xml:space="preserve">إجمالي مواقع الطبالي</t>
  </si>
  <si>
    <t xml:space="preserve">Total pallet locations</t>
  </si>
  <si>
    <t xml:space="preserve">مواقع مشغولة</t>
  </si>
  <si>
    <t xml:space="preserve">Locations used</t>
  </si>
  <si>
    <t xml:space="preserve">مواقع فارغة</t>
  </si>
  <si>
    <t xml:space="preserve">Locations free</t>
  </si>
  <si>
    <t xml:space="preserve">⚠ أبعاد الغرفة تقديرية (20 × 99.86 م) — غير مقاسة؛ عدّلها في شيت الثوابت · Room size is an estimate, edit in Constants</t>
  </si>
  <si>
    <t xml:space="preserve">الثوابت الهندسية · Geometry Constants</t>
  </si>
  <si>
    <t xml:space="preserve">المصدر / ملاحظة
Source / note</t>
  </si>
  <si>
    <t xml:space="preserve">عرض البالت</t>
  </si>
  <si>
    <t xml:space="preserve">Pallet width</t>
  </si>
  <si>
    <t xml:space="preserve">m · بالت صناعي 1200×1000 · standard pallet</t>
  </si>
  <si>
    <t xml:space="preserve">عمق البالت</t>
  </si>
  <si>
    <t xml:space="preserve">Pallet depth</t>
  </si>
  <si>
    <t xml:space="preserve">m · بالت صناعي · standard pallet</t>
  </si>
  <si>
    <t xml:space="preserve">خطوة الممر بين الراكات</t>
  </si>
  <si>
    <t xml:space="preserve">Rack lane pitch</t>
  </si>
  <si>
    <t xml:space="preserve">m · dry-room.html</t>
  </si>
  <si>
    <t xml:space="preserve">عمق موضع الطبلية في الراك</t>
  </si>
  <si>
    <t xml:space="preserve">Footprint depth per position</t>
  </si>
  <si>
    <t xml:space="preserve">m · dry-room.html (laneClear/pallet slot)</t>
  </si>
  <si>
    <t xml:space="preserve">عدد الطبالي بالعمق</t>
  </si>
  <si>
    <t xml:space="preserve">Pallets deep</t>
  </si>
  <si>
    <t xml:space="preserve">pcs · الاعتماد الحالي 5 (كان 6) · current basis 5 (was 6)</t>
  </si>
  <si>
    <t xml:space="preserve">ارتفاع قاعدة البالت</t>
  </si>
  <si>
    <t xml:space="preserve">Pallet base height</t>
  </si>
  <si>
    <t xml:space="preserve">cm · من أحمد · from Ahmed</t>
  </si>
  <si>
    <t xml:space="preserve">عرض الغرفة (تقديري)</t>
  </si>
  <si>
    <t xml:space="preserve">Room width (estimate)</t>
  </si>
  <si>
    <t xml:space="preserve">m · تقدير بالخطوات — غير مقاس · paced estimate, not measured</t>
  </si>
  <si>
    <t xml:space="preserve">طول الغرفة (تقديري)</t>
  </si>
  <si>
    <t xml:space="preserve">Room length (estimate)</t>
  </si>
  <si>
    <t xml:space="preserve">m · مجموع أطوال المناطق+4 — غير مقاس · from plan, not measured</t>
  </si>
  <si>
    <t xml:space="preserve">عرض الممر الرئيسي</t>
  </si>
  <si>
    <t xml:space="preserve">Main aisle width</t>
  </si>
  <si>
    <t xml:space="preserve">طول الممر</t>
  </si>
  <si>
    <t xml:space="preserve">Aisle length</t>
  </si>
  <si>
    <t xml:space="preserve">m · طول الغرفة − 4 · room length − 4</t>
  </si>
  <si>
    <t xml:space="preserve">فاصل الباب الاضطراري</t>
  </si>
  <si>
    <t xml:space="preserve">Emergency-door gap</t>
  </si>
  <si>
    <t xml:space="preserve">m · بين القطاعات · between sectors</t>
  </si>
  <si>
    <t xml:space="preserve">عرض عمود الراك</t>
  </si>
  <si>
    <t xml:space="preserve">Upright post</t>
  </si>
  <si>
    <t xml:space="preserve">cm · dry-room.html</t>
  </si>
  <si>
    <t xml:space="preserve">أقصى طبلية — راك 175</t>
  </si>
  <si>
    <t xml:space="preserve">Max pallet — 175 rack</t>
  </si>
  <si>
    <t xml:space="preserve">cm · الدور الأول A حتى 180 (يُتحقق ميدانياً) · level A up to 180 (verify)</t>
  </si>
  <si>
    <t xml:space="preserve">أقصى طبلية — راك 195</t>
  </si>
  <si>
    <t xml:space="preserve">Max pallet — 195 rack</t>
  </si>
  <si>
    <t xml:space="preserve">cm · نشا · أكياس سحاب · بلاستيك</t>
  </si>
  <si>
    <t xml:space="preserve">أقصى طبلية — راك 246</t>
  </si>
  <si>
    <t xml:space="preserve">Max pallet — 246 rack</t>
  </si>
  <si>
    <t xml:space="preserve">cm · الكرتون 230 ✓</t>
  </si>
  <si>
    <t xml:space="preserve">الأزرق = قيمة مُدخلة قابلة للتعديل (كل الشيتات تتحدث تلقائياً) · Blue = editable input, all sheets recalculate</t>
  </si>
  <si>
    <t xml:space="preserve">قرارات وبيانات ناقصة · Open Decisions &amp; Missing Data</t>
  </si>
  <si>
    <t xml:space="preserve">#</t>
  </si>
  <si>
    <t xml:space="preserve">الحالة
Status</t>
  </si>
  <si>
    <t xml:space="preserve">عدد طبالي النشا وأكياس السحاب</t>
  </si>
  <si>
    <t xml:space="preserve">Pallet counts for starch and zip bags</t>
  </si>
  <si>
    <t xml:space="preserve">مفتوح · Open</t>
  </si>
  <si>
    <t xml:space="preserve">عدد طبالي البلاستيك الأطول من 160 سم</t>
  </si>
  <si>
    <t xml:space="preserve">Number of plastic pallets taller than 160 cm</t>
  </si>
  <si>
    <t xml:space="preserve">الارتفاع الفعلي الحر للدور A في راكات 175</t>
  </si>
  <si>
    <t xml:space="preserve">Measured clear height of level A in 175 racks</t>
  </si>
  <si>
    <t xml:space="preserve">منطقة 195 ممتلئة (20/20): تتسع للنشا وأكياس السحاب؟</t>
  </si>
  <si>
    <t xml:space="preserve">Z2-L is full (20/20): can it also take starch and zip bags?</t>
  </si>
  <si>
    <t xml:space="preserve">7 راكات 175 فقط فارغة — كفاية للبلاستيك العالي؟</t>
  </si>
  <si>
    <t xml:space="preserve">Only 7 free 175 racks — enough for tall plastic?</t>
  </si>
  <si>
    <t xml:space="preserve">قياس طول وعرض الغرفة الفعلي</t>
  </si>
  <si>
    <t xml:space="preserve">Measure the real room length and width</t>
  </si>
  <si>
    <t xml:space="preserve">تحويل ملفات المستودع القديمة من 6 إلى 5 طبالي بالعمق</t>
  </si>
  <si>
    <t xml:space="preserve">Regenerate older repo files from 6 to 5 pallets deep</t>
  </si>
  <si>
    <t xml:space="preserve">اعتماد التسمية والتصاميم النهائية للبانرات</t>
  </si>
  <si>
    <t xml:space="preserve">Approve final naming and banner designs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</si>
</sst>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0%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FF2A8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88888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4"/>
  </cols>
  <sheetData>
    <row r="1" customFormat="false" ht="33.75" hidden="false" customHeight="true" outlineLevel="0" collapsed="false">
      <c r="A1" s="1" t="s">
        <v>0</v>
      </c>
      <c r="B1" s="1"/>
    </row>
    <row r="3" customFormat="false" ht="43.5" hidden="false" customHeight="true" outlineLevel="0" collapsed="false">
      <c r="A3" s="2" t="s">
        <v>1</v>
      </c>
      <c r="B3" s="2" t="s">
        <v>2</v>
      </c>
    </row>
    <row r="4" customFormat="false" ht="36" hidden="false" customHeight="true" outlineLevel="0" collapsed="false">
      <c r="A4" s="3" t="s">
        <v>3</v>
      </c>
      <c r="B4" s="3" t="s">
        <v>4</v>
      </c>
    </row>
    <row r="5" customFormat="false" ht="36" hidden="false" customHeight="true" outlineLevel="0" collapsed="false">
      <c r="A5" s="3" t="s">
        <v>5</v>
      </c>
      <c r="B5" s="3" t="s">
        <v>6</v>
      </c>
    </row>
    <row r="6" customFormat="false" ht="36" hidden="false" customHeight="true" outlineLevel="0" collapsed="false">
      <c r="A6" s="3" t="s">
        <v>7</v>
      </c>
      <c r="B6" s="3" t="s">
        <v>8</v>
      </c>
    </row>
    <row r="7" customFormat="false" ht="36" hidden="false" customHeight="true" outlineLevel="0" collapsed="false">
      <c r="A7" s="3" t="s">
        <v>9</v>
      </c>
      <c r="B7" s="3" t="s">
        <v>10</v>
      </c>
    </row>
    <row r="8" customFormat="false" ht="36" hidden="false" customHeight="true" outlineLevel="0" collapsed="false">
      <c r="A8" s="3" t="s">
        <v>11</v>
      </c>
      <c r="B8" s="3" t="s">
        <v>12</v>
      </c>
    </row>
    <row r="9" customFormat="false" ht="36" hidden="false" customHeight="true" outlineLevel="0" collapsed="false">
      <c r="A9" s="3" t="s">
        <v>13</v>
      </c>
      <c r="B9" s="3" t="s">
        <v>14</v>
      </c>
    </row>
    <row r="10" customFormat="false" ht="36" hidden="false" customHeight="true" outlineLevel="0" collapsed="false">
      <c r="A10" s="3" t="s">
        <v>15</v>
      </c>
      <c r="B10" s="3" t="s">
        <v>16</v>
      </c>
    </row>
    <row r="11" customFormat="false" ht="36" hidden="false" customHeight="true" outlineLevel="0" collapsed="false">
      <c r="A11" s="3" t="s">
        <v>17</v>
      </c>
      <c r="B11" s="3" t="s">
        <v>18</v>
      </c>
    </row>
    <row r="12" customFormat="false" ht="36" hidden="false" customHeight="true" outlineLevel="0" collapsed="false">
      <c r="A12" s="3" t="s">
        <v>19</v>
      </c>
      <c r="B12" s="3" t="s">
        <v>20</v>
      </c>
    </row>
    <row r="13" customFormat="false" ht="36" hidden="false" customHeight="true" outlineLevel="0" collapsed="false">
      <c r="A13" s="3" t="s">
        <v>21</v>
      </c>
      <c r="B13" s="3" t="s">
        <v>22</v>
      </c>
    </row>
    <row r="14" customFormat="false" ht="15" hidden="false" customHeight="false" outlineLevel="0" collapsed="false">
      <c r="A14" s="4" t="str">
        <f aca="false">'المناطق الست Areas'!E10&amp;" راك · "&amp;TEXT('المناطق الست Areas'!I10,"#,##0")&amp;" موقع"</f>
        <v>107 راك · 2,600 موقع</v>
      </c>
      <c r="B14" s="4" t="str">
        <f aca="false">'المناطق الست Areas'!E10&amp;" racks · "&amp;TEXT('المناطق الست Areas'!I10,"#,##0")&amp;" locations"</f>
        <v>107 racks · 2,600 locations</v>
      </c>
    </row>
    <row r="16" customFormat="false" ht="15" hidden="false" customHeight="false" outlineLevel="0" collapsed="false">
      <c r="A16" s="5" t="s">
        <v>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14" min="8" style="0" width="12"/>
  </cols>
  <sheetData>
    <row r="1" customFormat="false" ht="33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43.5" hidden="false" customHeight="tru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customFormat="false" ht="15" hidden="false" customHeight="false" outlineLevel="0" collapsed="false">
      <c r="A4" s="6" t="s">
        <v>39</v>
      </c>
      <c r="B4" s="7" t="s">
        <v>40</v>
      </c>
      <c r="C4" s="7" t="s">
        <v>41</v>
      </c>
      <c r="D4" s="7" t="s">
        <v>42</v>
      </c>
      <c r="E4" s="8" t="n">
        <v>19</v>
      </c>
      <c r="F4" s="8" t="n">
        <v>5</v>
      </c>
      <c r="G4" s="8" t="n">
        <v>175</v>
      </c>
      <c r="H4" s="9" t="n">
        <f aca="false">G4-'الثوابت Constants'!$C$9</f>
        <v>160</v>
      </c>
      <c r="I4" s="10" t="n">
        <f aca="false">E4*F4*'الثوابت Constants'!$C$8</f>
        <v>475</v>
      </c>
      <c r="J4" s="9" t="n">
        <f aca="false">SUMIF('المحتويات Contents'!$A:$A,A4,'المحتويات Contents'!$E:$E)</f>
        <v>19</v>
      </c>
      <c r="K4" s="11" t="n">
        <f aca="false">E4-J4</f>
        <v>0</v>
      </c>
      <c r="L4" s="12" t="n">
        <f aca="false">IF(E4=0,0,J4/E4)</f>
        <v>1</v>
      </c>
      <c r="M4" s="10" t="n">
        <f aca="false">J4*F4*'الثوابت Constants'!$C$8</f>
        <v>475</v>
      </c>
      <c r="N4" s="13" t="n">
        <f aca="false">I4-M4</f>
        <v>0</v>
      </c>
    </row>
    <row r="5" customFormat="false" ht="15" hidden="false" customHeight="false" outlineLevel="0" collapsed="false">
      <c r="A5" s="6" t="s">
        <v>43</v>
      </c>
      <c r="B5" s="7" t="s">
        <v>44</v>
      </c>
      <c r="C5" s="7" t="s">
        <v>45</v>
      </c>
      <c r="D5" s="7" t="s">
        <v>46</v>
      </c>
      <c r="E5" s="8" t="n">
        <v>19</v>
      </c>
      <c r="F5" s="8" t="n">
        <v>5</v>
      </c>
      <c r="G5" s="8" t="n">
        <v>175</v>
      </c>
      <c r="H5" s="9" t="n">
        <f aca="false">G5-'الثوابت Constants'!$C$9</f>
        <v>160</v>
      </c>
      <c r="I5" s="10" t="n">
        <f aca="false">E5*F5*'الثوابت Constants'!$C$8</f>
        <v>475</v>
      </c>
      <c r="J5" s="9" t="n">
        <f aca="false">SUMIF('المحتويات Contents'!$A:$A,A5,'المحتويات Contents'!$E:$E)</f>
        <v>16</v>
      </c>
      <c r="K5" s="11" t="n">
        <f aca="false">E5-J5</f>
        <v>3</v>
      </c>
      <c r="L5" s="12" t="n">
        <f aca="false">IF(E5=0,0,J5/E5)</f>
        <v>0.842105263157895</v>
      </c>
      <c r="M5" s="10" t="n">
        <f aca="false">J5*F5*'الثوابت Constants'!$C$8</f>
        <v>400</v>
      </c>
      <c r="N5" s="13" t="n">
        <f aca="false">I5-M5</f>
        <v>75</v>
      </c>
    </row>
    <row r="6" customFormat="false" ht="15" hidden="false" customHeight="false" outlineLevel="0" collapsed="false">
      <c r="A6" s="6" t="s">
        <v>47</v>
      </c>
      <c r="B6" s="7" t="s">
        <v>40</v>
      </c>
      <c r="C6" s="7" t="s">
        <v>48</v>
      </c>
      <c r="D6" s="7" t="s">
        <v>49</v>
      </c>
      <c r="E6" s="8" t="n">
        <v>19</v>
      </c>
      <c r="F6" s="8" t="n">
        <v>5</v>
      </c>
      <c r="G6" s="8" t="n">
        <v>175</v>
      </c>
      <c r="H6" s="9" t="n">
        <f aca="false">G6-'الثوابت Constants'!$C$9</f>
        <v>160</v>
      </c>
      <c r="I6" s="10" t="n">
        <f aca="false">E6*F6*'الثوابت Constants'!$C$8</f>
        <v>475</v>
      </c>
      <c r="J6" s="9" t="n">
        <f aca="false">SUMIF('المحتويات Contents'!$A:$A,A6,'المحتويات Contents'!$E:$E)</f>
        <v>19</v>
      </c>
      <c r="K6" s="11" t="n">
        <f aca="false">E6-J6</f>
        <v>0</v>
      </c>
      <c r="L6" s="12" t="n">
        <f aca="false">IF(E6=0,0,J6/E6)</f>
        <v>1</v>
      </c>
      <c r="M6" s="10" t="n">
        <f aca="false">J6*F6*'الثوابت Constants'!$C$8</f>
        <v>475</v>
      </c>
      <c r="N6" s="13" t="n">
        <f aca="false">I6-M6</f>
        <v>0</v>
      </c>
    </row>
    <row r="7" customFormat="false" ht="15" hidden="false" customHeight="false" outlineLevel="0" collapsed="false">
      <c r="A7" s="6" t="s">
        <v>50</v>
      </c>
      <c r="B7" s="7" t="s">
        <v>44</v>
      </c>
      <c r="C7" s="7" t="s">
        <v>51</v>
      </c>
      <c r="D7" s="7" t="s">
        <v>52</v>
      </c>
      <c r="E7" s="8" t="n">
        <v>20</v>
      </c>
      <c r="F7" s="8" t="n">
        <v>5</v>
      </c>
      <c r="G7" s="8" t="n">
        <v>195</v>
      </c>
      <c r="H7" s="9" t="n">
        <f aca="false">G7-'الثوابت Constants'!$C$9</f>
        <v>180</v>
      </c>
      <c r="I7" s="10" t="n">
        <f aca="false">E7*F7*'الثوابت Constants'!$C$8</f>
        <v>500</v>
      </c>
      <c r="J7" s="9" t="n">
        <f aca="false">SUMIF('المحتويات Contents'!$A:$A,A7,'المحتويات Contents'!$E:$E)</f>
        <v>20</v>
      </c>
      <c r="K7" s="11" t="n">
        <f aca="false">E7-J7</f>
        <v>0</v>
      </c>
      <c r="L7" s="12" t="n">
        <f aca="false">IF(E7=0,0,J7/E7)</f>
        <v>1</v>
      </c>
      <c r="M7" s="10" t="n">
        <f aca="false">J7*F7*'الثوابت Constants'!$C$8</f>
        <v>500</v>
      </c>
      <c r="N7" s="13" t="n">
        <f aca="false">I7-M7</f>
        <v>0</v>
      </c>
    </row>
    <row r="8" customFormat="false" ht="15" hidden="false" customHeight="false" outlineLevel="0" collapsed="false">
      <c r="A8" s="6" t="s">
        <v>53</v>
      </c>
      <c r="B8" s="7" t="s">
        <v>40</v>
      </c>
      <c r="C8" s="7" t="s">
        <v>54</v>
      </c>
      <c r="D8" s="7" t="s">
        <v>55</v>
      </c>
      <c r="E8" s="8" t="n">
        <v>15</v>
      </c>
      <c r="F8" s="8" t="n">
        <v>5</v>
      </c>
      <c r="G8" s="8" t="n">
        <v>175</v>
      </c>
      <c r="H8" s="9" t="n">
        <f aca="false">G8-'الثوابت Constants'!$C$9</f>
        <v>160</v>
      </c>
      <c r="I8" s="10" t="n">
        <f aca="false">E8*F8*'الثوابت Constants'!$C$8</f>
        <v>375</v>
      </c>
      <c r="J8" s="9" t="n">
        <f aca="false">SUMIF('المحتويات Contents'!$A:$A,A8,'المحتويات Contents'!$E:$E)</f>
        <v>11</v>
      </c>
      <c r="K8" s="11" t="n">
        <f aca="false">E8-J8</f>
        <v>4</v>
      </c>
      <c r="L8" s="12" t="n">
        <f aca="false">IF(E8=0,0,J8/E8)</f>
        <v>0.733333333333333</v>
      </c>
      <c r="M8" s="10" t="n">
        <f aca="false">J8*F8*'الثوابت Constants'!$C$8</f>
        <v>275</v>
      </c>
      <c r="N8" s="13" t="n">
        <f aca="false">I8-M8</f>
        <v>100</v>
      </c>
    </row>
    <row r="9" customFormat="false" ht="15" hidden="false" customHeight="false" outlineLevel="0" collapsed="false">
      <c r="A9" s="6" t="s">
        <v>56</v>
      </c>
      <c r="B9" s="7" t="s">
        <v>44</v>
      </c>
      <c r="C9" s="7" t="s">
        <v>57</v>
      </c>
      <c r="D9" s="7" t="s">
        <v>58</v>
      </c>
      <c r="E9" s="8" t="n">
        <v>15</v>
      </c>
      <c r="F9" s="8" t="n">
        <v>4</v>
      </c>
      <c r="G9" s="8" t="n">
        <v>246</v>
      </c>
      <c r="H9" s="9" t="n">
        <f aca="false">G9-'الثوابت Constants'!$C$9</f>
        <v>231</v>
      </c>
      <c r="I9" s="10" t="n">
        <f aca="false">E9*F9*'الثوابت Constants'!$C$8</f>
        <v>300</v>
      </c>
      <c r="J9" s="9" t="n">
        <f aca="false">SUMIF('المحتويات Contents'!$A:$A,A9,'المحتويات Contents'!$E:$E)</f>
        <v>15</v>
      </c>
      <c r="K9" s="11" t="n">
        <f aca="false">E9-J9</f>
        <v>0</v>
      </c>
      <c r="L9" s="12" t="n">
        <f aca="false">IF(E9=0,0,J9/E9)</f>
        <v>1</v>
      </c>
      <c r="M9" s="10" t="n">
        <f aca="false">J9*F9*'الثوابت Constants'!$C$8</f>
        <v>300</v>
      </c>
      <c r="N9" s="13" t="n">
        <f aca="false">I9-M9</f>
        <v>0</v>
      </c>
    </row>
    <row r="10" customFormat="false" ht="15" hidden="false" customHeight="false" outlineLevel="0" collapsed="false">
      <c r="A10" s="14" t="s">
        <v>59</v>
      </c>
      <c r="B10" s="14" t="s">
        <v>60</v>
      </c>
      <c r="C10" s="15"/>
      <c r="D10" s="15"/>
      <c r="E10" s="16" t="n">
        <f aca="false">SUM(E4:E9)</f>
        <v>107</v>
      </c>
      <c r="F10" s="15"/>
      <c r="G10" s="15"/>
      <c r="H10" s="15"/>
      <c r="I10" s="17" t="n">
        <f aca="false">SUM(I4:I9)</f>
        <v>2600</v>
      </c>
      <c r="J10" s="16" t="n">
        <f aca="false">SUM(J4:J9)</f>
        <v>100</v>
      </c>
      <c r="K10" s="16" t="n">
        <f aca="false">SUM(K4:K9)</f>
        <v>7</v>
      </c>
      <c r="L10" s="18" t="n">
        <f aca="false">J10/E10</f>
        <v>0.934579439252336</v>
      </c>
      <c r="M10" s="17" t="n">
        <f aca="false">SUM(M4:M9)</f>
        <v>2425</v>
      </c>
      <c r="N10" s="17" t="n">
        <f aca="false">SUM(N4:N9)</f>
        <v>175</v>
      </c>
    </row>
    <row r="12" customFormat="false" ht="15" hidden="false" customHeight="false" outlineLevel="0" collapsed="false">
      <c r="A12" s="19" t="s">
        <v>61</v>
      </c>
    </row>
    <row r="13" customFormat="false" ht="15" hidden="false" customHeight="false" outlineLevel="0" collapsed="false">
      <c r="A13" s="19" t="s">
        <v>62</v>
      </c>
    </row>
    <row r="14" customFormat="false" ht="15" hidden="false" customHeight="false" outlineLevel="0" collapsed="false">
      <c r="A14" s="19" t="s">
        <v>63</v>
      </c>
    </row>
    <row r="15" customFormat="false" ht="15" hidden="false" customHeight="false" outlineLevel="0" collapsed="false">
      <c r="A15" s="19" t="s">
        <v>64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6" min="4" style="0" width="40"/>
  </cols>
  <sheetData>
    <row r="1" customFormat="false" ht="33.75" hidden="false" customHeight="true" outlineLevel="0" collapsed="false">
      <c r="A1" s="1" t="s">
        <v>65</v>
      </c>
      <c r="B1" s="1"/>
      <c r="C1" s="1"/>
      <c r="D1" s="1"/>
      <c r="E1" s="1"/>
      <c r="F1" s="1"/>
    </row>
    <row r="3" customFormat="false" ht="43.5" hidden="false" customHeight="true" outlineLevel="0" collapsed="false">
      <c r="A3" s="2" t="s">
        <v>66</v>
      </c>
      <c r="B3" s="2" t="s">
        <v>29</v>
      </c>
      <c r="C3" s="2" t="s">
        <v>67</v>
      </c>
      <c r="D3" s="2" t="s">
        <v>68</v>
      </c>
      <c r="E3" s="2" t="s">
        <v>69</v>
      </c>
      <c r="F3" s="2" t="s">
        <v>70</v>
      </c>
    </row>
    <row r="4" customFormat="false" ht="48" hidden="false" customHeight="true" outlineLevel="0" collapsed="false">
      <c r="A4" s="8" t="n">
        <v>246</v>
      </c>
      <c r="B4" s="9" t="n">
        <f aca="false">SUMIF('المناطق الست Areas'!$G$4:$G$9,A4,'المناطق الست Areas'!$E$4:$E$9)</f>
        <v>15</v>
      </c>
      <c r="C4" s="9" t="n">
        <f aca="false">A4-'الثوابت Constants'!$C$9</f>
        <v>231</v>
      </c>
      <c r="D4" s="3" t="s">
        <v>71</v>
      </c>
      <c r="E4" s="3" t="s">
        <v>72</v>
      </c>
      <c r="F4" s="3" t="s">
        <v>73</v>
      </c>
    </row>
    <row r="5" customFormat="false" ht="48" hidden="false" customHeight="true" outlineLevel="0" collapsed="false">
      <c r="A5" s="8" t="n">
        <v>195</v>
      </c>
      <c r="B5" s="9" t="n">
        <f aca="false">SUMIF('المناطق الست Areas'!$G$4:$G$9,A5,'المناطق الست Areas'!$E$4:$E$9)</f>
        <v>20</v>
      </c>
      <c r="C5" s="9" t="n">
        <f aca="false">A5-'الثوابت Constants'!$C$9</f>
        <v>180</v>
      </c>
      <c r="D5" s="3" t="s">
        <v>74</v>
      </c>
      <c r="E5" s="3" t="s">
        <v>75</v>
      </c>
      <c r="F5" s="3" t="s">
        <v>76</v>
      </c>
    </row>
    <row r="6" customFormat="false" ht="48" hidden="false" customHeight="true" outlineLevel="0" collapsed="false">
      <c r="A6" s="8" t="n">
        <v>175</v>
      </c>
      <c r="B6" s="9" t="n">
        <f aca="false">SUMIF('المناطق الست Areas'!$G$4:$G$9,A6,'المناطق الست Areas'!$E$4:$E$9)</f>
        <v>72</v>
      </c>
      <c r="C6" s="9" t="n">
        <f aca="false">A6-'الثوابت Constants'!$C$9</f>
        <v>160</v>
      </c>
      <c r="D6" s="3" t="s">
        <v>77</v>
      </c>
      <c r="E6" s="3" t="s">
        <v>78</v>
      </c>
      <c r="F6" s="3" t="s">
        <v>79</v>
      </c>
    </row>
    <row r="7" customFormat="false" ht="15" hidden="false" customHeight="false" outlineLevel="0" collapsed="false">
      <c r="A7" s="14" t="s">
        <v>80</v>
      </c>
      <c r="B7" s="16" t="n">
        <f aca="false">SUM(B4:B6)</f>
        <v>107</v>
      </c>
      <c r="C7" s="15"/>
      <c r="D7" s="15"/>
      <c r="E7" s="15"/>
      <c r="F7" s="15"/>
    </row>
    <row r="9" customFormat="false" ht="15" hidden="false" customHeight="false" outlineLevel="0" collapsed="false">
      <c r="A9" s="20" t="s">
        <v>81</v>
      </c>
    </row>
    <row r="10" customFormat="false" ht="15" hidden="false" customHeight="false" outlineLevel="0" collapsed="false">
      <c r="A10" s="19" t="s">
        <v>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4"/>
    <col collapsed="false" customWidth="true" hidden="false" outlineLevel="0" max="8" min="4" style="0" width="12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</row>
    <row r="3" customFormat="false" ht="43.5" hidden="false" customHeight="true" outlineLevel="0" collapsed="false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</row>
    <row r="4" customFormat="false" ht="33.75" hidden="false" customHeight="true" outlineLevel="0" collapsed="false">
      <c r="A4" s="6" t="s">
        <v>39</v>
      </c>
      <c r="B4" s="7" t="s">
        <v>93</v>
      </c>
      <c r="C4" s="7" t="s">
        <v>42</v>
      </c>
      <c r="D4" s="8" t="n">
        <v>25</v>
      </c>
      <c r="E4" s="8" t="n">
        <v>19</v>
      </c>
      <c r="F4" s="8" t="n">
        <v>6</v>
      </c>
      <c r="G4" s="10" t="n">
        <f aca="false">E4*5*'الثوابت Constants'!$C$8</f>
        <v>475</v>
      </c>
      <c r="H4" s="3" t="str">
        <f aca="false">IF(F4&gt;0,"مشترك · Shared","فردي · Single")</f>
        <v>مشترك · Shared</v>
      </c>
      <c r="I4" s="3" t="s">
        <v>94</v>
      </c>
    </row>
    <row r="5" customFormat="false" ht="33.75" hidden="false" customHeight="true" outlineLevel="0" collapsed="false">
      <c r="A5" s="6" t="s">
        <v>43</v>
      </c>
      <c r="B5" s="7" t="s">
        <v>95</v>
      </c>
      <c r="C5" s="7" t="s">
        <v>96</v>
      </c>
      <c r="D5" s="8" t="n">
        <v>5</v>
      </c>
      <c r="E5" s="8" t="n">
        <v>6</v>
      </c>
      <c r="F5" s="8" t="n">
        <v>0</v>
      </c>
      <c r="G5" s="10" t="n">
        <f aca="false">E5*5*'الثوابت Constants'!$C$8</f>
        <v>150</v>
      </c>
      <c r="H5" s="3" t="str">
        <f aca="false">IF(F5&gt;0,"مشترك · Shared","فردي · Single")</f>
        <v>فردي · Single</v>
      </c>
      <c r="I5" s="3" t="s">
        <v>97</v>
      </c>
    </row>
    <row r="6" customFormat="false" ht="33.75" hidden="false" customHeight="true" outlineLevel="0" collapsed="false">
      <c r="A6" s="6" t="s">
        <v>43</v>
      </c>
      <c r="B6" s="7" t="s">
        <v>98</v>
      </c>
      <c r="C6" s="7" t="s">
        <v>99</v>
      </c>
      <c r="D6" s="8" t="n">
        <v>10</v>
      </c>
      <c r="E6" s="8" t="n">
        <v>10</v>
      </c>
      <c r="F6" s="8" t="n">
        <v>0</v>
      </c>
      <c r="G6" s="10" t="n">
        <f aca="false">E6*5*'الثوابت Constants'!$C$8</f>
        <v>250</v>
      </c>
      <c r="H6" s="3" t="str">
        <f aca="false">IF(F6&gt;0,"مشترك · Shared","فردي · Single")</f>
        <v>فردي · Single</v>
      </c>
      <c r="I6" s="3" t="s">
        <v>100</v>
      </c>
    </row>
    <row r="7" customFormat="false" ht="33.75" hidden="false" customHeight="true" outlineLevel="0" collapsed="false">
      <c r="A7" s="6" t="s">
        <v>47</v>
      </c>
      <c r="B7" s="7" t="s">
        <v>101</v>
      </c>
      <c r="C7" s="7" t="s">
        <v>102</v>
      </c>
      <c r="D7" s="8" t="n">
        <v>7</v>
      </c>
      <c r="E7" s="8" t="n">
        <v>19</v>
      </c>
      <c r="F7" s="8" t="n">
        <v>0</v>
      </c>
      <c r="G7" s="10" t="n">
        <f aca="false">E7*5*'الثوابت Constants'!$C$8</f>
        <v>475</v>
      </c>
      <c r="H7" s="3" t="str">
        <f aca="false">IF(F7&gt;0,"مشترك · Shared","فردي · Single")</f>
        <v>فردي · Single</v>
      </c>
      <c r="I7" s="3" t="s">
        <v>103</v>
      </c>
    </row>
    <row r="8" customFormat="false" ht="33.75" hidden="false" customHeight="true" outlineLevel="0" collapsed="false">
      <c r="A8" s="6" t="s">
        <v>50</v>
      </c>
      <c r="B8" s="7" t="s">
        <v>104</v>
      </c>
      <c r="C8" s="7" t="s">
        <v>105</v>
      </c>
      <c r="D8" s="8" t="n">
        <v>6</v>
      </c>
      <c r="E8" s="8" t="n">
        <v>20</v>
      </c>
      <c r="F8" s="8" t="n">
        <v>0</v>
      </c>
      <c r="G8" s="10" t="n">
        <f aca="false">E8*5*'الثوابت Constants'!$C$8</f>
        <v>500</v>
      </c>
      <c r="H8" s="3" t="str">
        <f aca="false">IF(F8&gt;0,"مشترك · Shared","فردي · Single")</f>
        <v>فردي · Single</v>
      </c>
      <c r="I8" s="3" t="s">
        <v>106</v>
      </c>
    </row>
    <row r="9" customFormat="false" ht="33.75" hidden="false" customHeight="true" outlineLevel="0" collapsed="false">
      <c r="A9" s="6" t="s">
        <v>53</v>
      </c>
      <c r="B9" s="7" t="s">
        <v>107</v>
      </c>
      <c r="C9" s="7" t="s">
        <v>108</v>
      </c>
      <c r="D9" s="8" t="n">
        <v>6</v>
      </c>
      <c r="E9" s="8" t="n">
        <v>6</v>
      </c>
      <c r="F9" s="8" t="n">
        <v>0</v>
      </c>
      <c r="G9" s="10" t="n">
        <f aca="false">E9*5*'الثوابت Constants'!$C$8</f>
        <v>150</v>
      </c>
      <c r="H9" s="3" t="str">
        <f aca="false">IF(F9&gt;0,"مشترك · Shared","فردي · Single")</f>
        <v>فردي · Single</v>
      </c>
      <c r="I9" s="3" t="s">
        <v>109</v>
      </c>
    </row>
    <row r="10" customFormat="false" ht="33.75" hidden="false" customHeight="true" outlineLevel="0" collapsed="false">
      <c r="A10" s="6" t="s">
        <v>53</v>
      </c>
      <c r="B10" s="7" t="s">
        <v>110</v>
      </c>
      <c r="C10" s="7" t="s">
        <v>111</v>
      </c>
      <c r="D10" s="8" t="n">
        <v>13</v>
      </c>
      <c r="E10" s="8" t="n">
        <v>5</v>
      </c>
      <c r="F10" s="8" t="n">
        <v>5</v>
      </c>
      <c r="G10" s="10" t="n">
        <f aca="false">E10*5*'الثوابت Constants'!$C$8</f>
        <v>125</v>
      </c>
      <c r="H10" s="3" t="str">
        <f aca="false">IF(F10&gt;0,"مشترك · Shared","فردي · Single")</f>
        <v>مشترك · Shared</v>
      </c>
      <c r="I10" s="3" t="s">
        <v>112</v>
      </c>
    </row>
    <row r="11" customFormat="false" ht="33.75" hidden="false" customHeight="true" outlineLevel="0" collapsed="false">
      <c r="A11" s="6" t="s">
        <v>56</v>
      </c>
      <c r="B11" s="7" t="s">
        <v>57</v>
      </c>
      <c r="C11" s="7" t="s">
        <v>58</v>
      </c>
      <c r="D11" s="8" t="n">
        <v>18</v>
      </c>
      <c r="E11" s="8" t="n">
        <v>15</v>
      </c>
      <c r="F11" s="8" t="n">
        <v>3</v>
      </c>
      <c r="G11" s="10" t="n">
        <f aca="false">E11*4*'الثوابت Constants'!$C$8</f>
        <v>300</v>
      </c>
      <c r="H11" s="3" t="str">
        <f aca="false">IF(F11&gt;0,"مشترك · Shared","فردي · Single")</f>
        <v>مشترك · Shared</v>
      </c>
      <c r="I11" s="3" t="s">
        <v>113</v>
      </c>
    </row>
    <row r="12" customFormat="false" ht="15" hidden="false" customHeight="false" outlineLevel="0" collapsed="false">
      <c r="A12" s="14" t="s">
        <v>59</v>
      </c>
      <c r="B12" s="15"/>
      <c r="C12" s="15"/>
      <c r="D12" s="17" t="n">
        <f aca="false">SUM(D4:D11)</f>
        <v>90</v>
      </c>
      <c r="E12" s="17" t="n">
        <f aca="false">SUM(E4:E11)</f>
        <v>100</v>
      </c>
      <c r="F12" s="17" t="n">
        <f aca="false">SUM(F4:F11)</f>
        <v>14</v>
      </c>
      <c r="G12" s="17" t="n">
        <f aca="false">SUM(G4:G11)</f>
        <v>2425</v>
      </c>
      <c r="H12" s="15"/>
      <c r="I12" s="15"/>
    </row>
    <row r="14" customFormat="false" ht="15" hidden="false" customHeight="false" outlineLevel="0" collapsed="false">
      <c r="A14" s="19" t="s">
        <v>114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33.75" hidden="false" customHeight="true" outlineLevel="0" collapsed="false">
      <c r="A1" s="1" t="s">
        <v>115</v>
      </c>
      <c r="B1" s="1"/>
      <c r="C1" s="1"/>
      <c r="D1" s="1"/>
    </row>
    <row r="3" customFormat="false" ht="43.5" hidden="false" customHeight="true" outlineLevel="0" collapsed="false">
      <c r="A3" s="2" t="s">
        <v>116</v>
      </c>
      <c r="B3" s="2" t="s">
        <v>117</v>
      </c>
      <c r="C3" s="2" t="s">
        <v>118</v>
      </c>
      <c r="D3" s="2" t="s">
        <v>119</v>
      </c>
    </row>
    <row r="4" customFormat="false" ht="26.85" hidden="false" customHeight="false" outlineLevel="0" collapsed="false">
      <c r="A4" s="7" t="s">
        <v>120</v>
      </c>
      <c r="B4" s="7" t="s">
        <v>121</v>
      </c>
      <c r="C4" s="21" t="n">
        <f aca="false">'الثوابت Constants'!$C$10*'الثوابت Constants'!$C$11</f>
        <v>1997.2</v>
      </c>
      <c r="D4" s="3" t="s">
        <v>122</v>
      </c>
    </row>
    <row r="5" customFormat="false" ht="15" hidden="false" customHeight="false" outlineLevel="0" collapsed="false">
      <c r="A5" s="7" t="s">
        <v>123</v>
      </c>
      <c r="B5" s="7" t="s">
        <v>124</v>
      </c>
      <c r="C5" s="21" t="n">
        <f aca="false">'الثوابت Constants'!$C$12*'الثوابت Constants'!$C$13</f>
        <v>383.44</v>
      </c>
      <c r="D5" s="3" t="s">
        <v>125</v>
      </c>
    </row>
    <row r="6" customFormat="false" ht="15" hidden="false" customHeight="false" outlineLevel="0" collapsed="false">
      <c r="A6" s="7" t="s">
        <v>126</v>
      </c>
      <c r="B6" s="7" t="s">
        <v>127</v>
      </c>
      <c r="C6" s="22" t="n">
        <f aca="false">'الثوابت Constants'!$C$6*'الثوابت Constants'!$C$7*'الثوابت Constants'!$C$8</f>
        <v>8.0275</v>
      </c>
      <c r="D6" s="3" t="s">
        <v>128</v>
      </c>
    </row>
    <row r="7" customFormat="false" ht="15" hidden="false" customHeight="false" outlineLevel="0" collapsed="false">
      <c r="A7" s="7" t="s">
        <v>129</v>
      </c>
      <c r="B7" s="7" t="s">
        <v>130</v>
      </c>
      <c r="C7" s="21" t="n">
        <f aca="false">'المناطق الست Areas'!E10*C6</f>
        <v>858.9425</v>
      </c>
      <c r="D7" s="3" t="s">
        <v>131</v>
      </c>
    </row>
    <row r="8" customFormat="false" ht="15" hidden="false" customHeight="false" outlineLevel="0" collapsed="false">
      <c r="A8" s="3" t="s">
        <v>132</v>
      </c>
      <c r="B8" s="7" t="s">
        <v>133</v>
      </c>
      <c r="C8" s="21" t="n">
        <f aca="false">'المناطق الست Areas'!J10*C6</f>
        <v>802.75</v>
      </c>
      <c r="D8" s="3" t="s">
        <v>134</v>
      </c>
    </row>
    <row r="9" customFormat="false" ht="15" hidden="false" customHeight="false" outlineLevel="0" collapsed="false">
      <c r="A9" s="3" t="s">
        <v>135</v>
      </c>
      <c r="B9" s="7" t="s">
        <v>136</v>
      </c>
      <c r="C9" s="21" t="n">
        <f aca="false">'المناطق الست Areas'!K10*C6</f>
        <v>56.1925</v>
      </c>
      <c r="D9" s="3" t="s">
        <v>137</v>
      </c>
    </row>
    <row r="10" customFormat="false" ht="15" hidden="false" customHeight="false" outlineLevel="0" collapsed="false">
      <c r="A10" s="7" t="s">
        <v>138</v>
      </c>
      <c r="B10" s="7" t="s">
        <v>139</v>
      </c>
      <c r="C10" s="23" t="n">
        <f aca="false">'المناطق الست Areas'!L10</f>
        <v>0.934579439252336</v>
      </c>
      <c r="D10" s="3"/>
    </row>
    <row r="11" customFormat="false" ht="15" hidden="false" customHeight="false" outlineLevel="0" collapsed="false">
      <c r="A11" s="7" t="s">
        <v>140</v>
      </c>
      <c r="B11" s="7" t="s">
        <v>141</v>
      </c>
      <c r="C11" s="23" t="n">
        <f aca="false">C7/C4</f>
        <v>0.430073352693771</v>
      </c>
      <c r="D11" s="3"/>
    </row>
    <row r="12" customFormat="false" ht="15" hidden="false" customHeight="false" outlineLevel="0" collapsed="false">
      <c r="A12" s="7" t="s">
        <v>142</v>
      </c>
      <c r="B12" s="7" t="s">
        <v>143</v>
      </c>
      <c r="C12" s="23" t="n">
        <f aca="false">C5/C4</f>
        <v>0.191988784298017</v>
      </c>
      <c r="D12" s="3"/>
    </row>
    <row r="13" customFormat="false" ht="15" hidden="false" customHeight="false" outlineLevel="0" collapsed="false">
      <c r="A13" s="3" t="s">
        <v>144</v>
      </c>
      <c r="B13" s="3" t="s">
        <v>145</v>
      </c>
      <c r="C13" s="24" t="n">
        <f aca="false">C4-C5-C7</f>
        <v>754.8175</v>
      </c>
      <c r="D13" s="3" t="s">
        <v>146</v>
      </c>
    </row>
    <row r="14" customFormat="false" ht="15" hidden="false" customHeight="false" outlineLevel="0" collapsed="false">
      <c r="A14" s="7" t="s">
        <v>147</v>
      </c>
      <c r="B14" s="7" t="s">
        <v>148</v>
      </c>
      <c r="C14" s="24" t="n">
        <f aca="false">'المناطق الست Areas'!I10</f>
        <v>2600</v>
      </c>
      <c r="D14" s="3"/>
    </row>
    <row r="15" customFormat="false" ht="15" hidden="false" customHeight="false" outlineLevel="0" collapsed="false">
      <c r="A15" s="7" t="s">
        <v>149</v>
      </c>
      <c r="B15" s="7" t="s">
        <v>150</v>
      </c>
      <c r="C15" s="24" t="n">
        <f aca="false">'المناطق الست Areas'!M10</f>
        <v>2425</v>
      </c>
      <c r="D15" s="3"/>
    </row>
    <row r="16" customFormat="false" ht="15" hidden="false" customHeight="false" outlineLevel="0" collapsed="false">
      <c r="A16" s="7" t="s">
        <v>151</v>
      </c>
      <c r="B16" s="7" t="s">
        <v>152</v>
      </c>
      <c r="C16" s="24" t="n">
        <f aca="false">'المناطق الست Areas'!N10</f>
        <v>175</v>
      </c>
      <c r="D16" s="3"/>
    </row>
    <row r="18" customFormat="false" ht="15" hidden="false" customHeight="false" outlineLevel="0" collapsed="false">
      <c r="A18" s="25" t="s">
        <v>153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33.75" hidden="false" customHeight="true" outlineLevel="0" collapsed="false">
      <c r="A1" s="1" t="s">
        <v>154</v>
      </c>
      <c r="B1" s="1"/>
      <c r="C1" s="1"/>
      <c r="D1" s="1"/>
    </row>
    <row r="3" customFormat="false" ht="43.5" hidden="false" customHeight="true" outlineLevel="0" collapsed="false">
      <c r="A3" s="2" t="s">
        <v>116</v>
      </c>
      <c r="B3" s="2" t="s">
        <v>117</v>
      </c>
      <c r="C3" s="2" t="s">
        <v>118</v>
      </c>
      <c r="D3" s="2" t="s">
        <v>155</v>
      </c>
    </row>
    <row r="4" customFormat="false" ht="15" hidden="false" customHeight="false" outlineLevel="0" collapsed="false">
      <c r="A4" s="7" t="s">
        <v>156</v>
      </c>
      <c r="B4" s="7" t="s">
        <v>157</v>
      </c>
      <c r="C4" s="26" t="n">
        <v>1.2</v>
      </c>
      <c r="D4" s="3" t="s">
        <v>158</v>
      </c>
    </row>
    <row r="5" customFormat="false" ht="15" hidden="false" customHeight="false" outlineLevel="0" collapsed="false">
      <c r="A5" s="7" t="s">
        <v>159</v>
      </c>
      <c r="B5" s="7" t="s">
        <v>160</v>
      </c>
      <c r="C5" s="26" t="n">
        <v>1</v>
      </c>
      <c r="D5" s="3" t="s">
        <v>161</v>
      </c>
    </row>
    <row r="6" customFormat="false" ht="15" hidden="false" customHeight="false" outlineLevel="0" collapsed="false">
      <c r="A6" s="7" t="s">
        <v>162</v>
      </c>
      <c r="B6" s="7" t="s">
        <v>163</v>
      </c>
      <c r="C6" s="26" t="n">
        <v>1.69</v>
      </c>
      <c r="D6" s="3" t="s">
        <v>164</v>
      </c>
    </row>
    <row r="7" customFormat="false" ht="15" hidden="false" customHeight="false" outlineLevel="0" collapsed="false">
      <c r="A7" s="7" t="s">
        <v>165</v>
      </c>
      <c r="B7" s="3" t="s">
        <v>166</v>
      </c>
      <c r="C7" s="26" t="n">
        <v>0.95</v>
      </c>
      <c r="D7" s="3" t="s">
        <v>167</v>
      </c>
    </row>
    <row r="8" customFormat="false" ht="26.85" hidden="false" customHeight="false" outlineLevel="0" collapsed="false">
      <c r="A8" s="7" t="s">
        <v>168</v>
      </c>
      <c r="B8" s="7" t="s">
        <v>169</v>
      </c>
      <c r="C8" s="27" t="n">
        <v>5</v>
      </c>
      <c r="D8" s="3" t="s">
        <v>170</v>
      </c>
    </row>
    <row r="9" customFormat="false" ht="15" hidden="false" customHeight="false" outlineLevel="0" collapsed="false">
      <c r="A9" s="7" t="s">
        <v>171</v>
      </c>
      <c r="B9" s="7" t="s">
        <v>172</v>
      </c>
      <c r="C9" s="27" t="n">
        <v>15</v>
      </c>
      <c r="D9" s="3" t="s">
        <v>173</v>
      </c>
    </row>
    <row r="10" customFormat="false" ht="26.85" hidden="false" customHeight="false" outlineLevel="0" collapsed="false">
      <c r="A10" s="7" t="s">
        <v>174</v>
      </c>
      <c r="B10" s="7" t="s">
        <v>175</v>
      </c>
      <c r="C10" s="27" t="n">
        <v>20</v>
      </c>
      <c r="D10" s="3" t="s">
        <v>176</v>
      </c>
    </row>
    <row r="11" customFormat="false" ht="26.85" hidden="false" customHeight="false" outlineLevel="0" collapsed="false">
      <c r="A11" s="7" t="s">
        <v>177</v>
      </c>
      <c r="B11" s="7" t="s">
        <v>178</v>
      </c>
      <c r="C11" s="26" t="n">
        <v>99.86</v>
      </c>
      <c r="D11" s="3" t="s">
        <v>179</v>
      </c>
    </row>
    <row r="12" customFormat="false" ht="15" hidden="false" customHeight="false" outlineLevel="0" collapsed="false">
      <c r="A12" s="7" t="s">
        <v>180</v>
      </c>
      <c r="B12" s="7" t="s">
        <v>181</v>
      </c>
      <c r="C12" s="26" t="n">
        <v>4</v>
      </c>
      <c r="D12" s="3" t="s">
        <v>164</v>
      </c>
    </row>
    <row r="13" customFormat="false" ht="15" hidden="false" customHeight="false" outlineLevel="0" collapsed="false">
      <c r="A13" s="7" t="s">
        <v>182</v>
      </c>
      <c r="B13" s="7" t="s">
        <v>183</v>
      </c>
      <c r="C13" s="26" t="n">
        <v>95.86</v>
      </c>
      <c r="D13" s="3" t="s">
        <v>184</v>
      </c>
    </row>
    <row r="14" customFormat="false" ht="15" hidden="false" customHeight="false" outlineLevel="0" collapsed="false">
      <c r="A14" s="7" t="s">
        <v>185</v>
      </c>
      <c r="B14" s="7" t="s">
        <v>186</v>
      </c>
      <c r="C14" s="26" t="n">
        <v>2.3</v>
      </c>
      <c r="D14" s="3" t="s">
        <v>187</v>
      </c>
    </row>
    <row r="15" customFormat="false" ht="15" hidden="false" customHeight="false" outlineLevel="0" collapsed="false">
      <c r="A15" s="7" t="s">
        <v>188</v>
      </c>
      <c r="B15" s="7" t="s">
        <v>189</v>
      </c>
      <c r="C15" s="27" t="n">
        <v>12</v>
      </c>
      <c r="D15" s="3" t="s">
        <v>190</v>
      </c>
    </row>
    <row r="16" customFormat="false" ht="26.85" hidden="false" customHeight="false" outlineLevel="0" collapsed="false">
      <c r="A16" s="7" t="s">
        <v>191</v>
      </c>
      <c r="B16" s="7" t="s">
        <v>192</v>
      </c>
      <c r="C16" s="27" t="n">
        <v>160</v>
      </c>
      <c r="D16" s="3" t="s">
        <v>193</v>
      </c>
    </row>
    <row r="17" customFormat="false" ht="15" hidden="false" customHeight="false" outlineLevel="0" collapsed="false">
      <c r="A17" s="7" t="s">
        <v>194</v>
      </c>
      <c r="B17" s="7" t="s">
        <v>195</v>
      </c>
      <c r="C17" s="27" t="n">
        <v>180</v>
      </c>
      <c r="D17" s="3" t="s">
        <v>196</v>
      </c>
    </row>
    <row r="18" customFormat="false" ht="15" hidden="false" customHeight="false" outlineLevel="0" collapsed="false">
      <c r="A18" s="7" t="s">
        <v>197</v>
      </c>
      <c r="B18" s="7" t="s">
        <v>198</v>
      </c>
      <c r="C18" s="27" t="n">
        <v>231</v>
      </c>
      <c r="D18" s="3" t="s">
        <v>199</v>
      </c>
    </row>
    <row r="20" customFormat="false" ht="15" hidden="false" customHeight="false" outlineLevel="0" collapsed="false">
      <c r="A20" s="19" t="s">
        <v>200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50"/>
    <col collapsed="false" customWidth="true" hidden="false" outlineLevel="0" max="4" min="4" style="0" width="22"/>
  </cols>
  <sheetData>
    <row r="1" customFormat="false" ht="33.75" hidden="false" customHeight="true" outlineLevel="0" collapsed="false">
      <c r="A1" s="1" t="s">
        <v>201</v>
      </c>
      <c r="B1" s="1"/>
      <c r="C1" s="1"/>
      <c r="D1" s="1"/>
    </row>
    <row r="3" customFormat="false" ht="43.5" hidden="false" customHeight="true" outlineLevel="0" collapsed="false">
      <c r="A3" s="2" t="s">
        <v>202</v>
      </c>
      <c r="B3" s="2" t="s">
        <v>1</v>
      </c>
      <c r="C3" s="2" t="s">
        <v>2</v>
      </c>
      <c r="D3" s="2" t="s">
        <v>203</v>
      </c>
    </row>
    <row r="4" customFormat="false" ht="31.5" hidden="false" customHeight="true" outlineLevel="0" collapsed="false">
      <c r="A4" s="7" t="n">
        <v>1</v>
      </c>
      <c r="B4" s="3" t="s">
        <v>204</v>
      </c>
      <c r="C4" s="3" t="s">
        <v>205</v>
      </c>
      <c r="D4" s="28" t="s">
        <v>206</v>
      </c>
    </row>
    <row r="5" customFormat="false" ht="31.5" hidden="false" customHeight="true" outlineLevel="0" collapsed="false">
      <c r="A5" s="7" t="n">
        <v>2</v>
      </c>
      <c r="B5" s="3" t="s">
        <v>207</v>
      </c>
      <c r="C5" s="3" t="s">
        <v>208</v>
      </c>
      <c r="D5" s="28" t="s">
        <v>206</v>
      </c>
    </row>
    <row r="6" customFormat="false" ht="31.5" hidden="false" customHeight="true" outlineLevel="0" collapsed="false">
      <c r="A6" s="7" t="n">
        <v>3</v>
      </c>
      <c r="B6" s="3" t="s">
        <v>209</v>
      </c>
      <c r="C6" s="3" t="s">
        <v>210</v>
      </c>
      <c r="D6" s="28" t="s">
        <v>206</v>
      </c>
    </row>
    <row r="7" customFormat="false" ht="31.5" hidden="false" customHeight="true" outlineLevel="0" collapsed="false">
      <c r="A7" s="7" t="n">
        <v>4</v>
      </c>
      <c r="B7" s="3" t="s">
        <v>211</v>
      </c>
      <c r="C7" s="3" t="s">
        <v>212</v>
      </c>
      <c r="D7" s="28" t="s">
        <v>206</v>
      </c>
    </row>
    <row r="8" customFormat="false" ht="31.5" hidden="false" customHeight="true" outlineLevel="0" collapsed="false">
      <c r="A8" s="7" t="n">
        <v>5</v>
      </c>
      <c r="B8" s="3" t="s">
        <v>213</v>
      </c>
      <c r="C8" s="3" t="s">
        <v>214</v>
      </c>
      <c r="D8" s="28" t="s">
        <v>206</v>
      </c>
    </row>
    <row r="9" customFormat="false" ht="31.5" hidden="false" customHeight="true" outlineLevel="0" collapsed="false">
      <c r="A9" s="7" t="n">
        <v>6</v>
      </c>
      <c r="B9" s="3" t="s">
        <v>215</v>
      </c>
      <c r="C9" s="3" t="s">
        <v>216</v>
      </c>
      <c r="D9" s="28" t="s">
        <v>206</v>
      </c>
    </row>
    <row r="10" customFormat="false" ht="31.5" hidden="false" customHeight="true" outlineLevel="0" collapsed="false">
      <c r="A10" s="7" t="n">
        <v>7</v>
      </c>
      <c r="B10" s="3" t="s">
        <v>217</v>
      </c>
      <c r="C10" s="3" t="s">
        <v>218</v>
      </c>
      <c r="D10" s="28" t="s">
        <v>206</v>
      </c>
    </row>
    <row r="11" customFormat="false" ht="31.5" hidden="false" customHeight="true" outlineLevel="0" collapsed="false">
      <c r="A11" s="7" t="n">
        <v>8</v>
      </c>
      <c r="B11" s="3" t="s">
        <v>219</v>
      </c>
      <c r="C11" s="3" t="s">
        <v>220</v>
      </c>
      <c r="D11" s="28" t="s">
        <v>206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2026-10-12T10:23:03Z</dcterms:created>
  <dc:creator>openpyxl</dc:creator>
  <dc:description/>
  <dc:language>en-US</dc:language>
  <cp:lastModifiedBy/>
  <dcterms:modified xsi:type="dcterms:W3CDTF">2026-10-12T10:23:03Z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
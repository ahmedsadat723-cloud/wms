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R ahmed sadat\Desktop\"/>
    </mc:Choice>
  </mc:AlternateContent>
  <xr:revisionPtr revIDLastSave="0" documentId="8_{BF2F1AB2-F49E-4257-B6B1-5F1DB7C64B0A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التقسيم Layout" sheetId="1" r:id="rId1"/>
    <sheet name="أكواد الليبلات Codes" sheetId="2" r:id="rId2"/>
    <sheet name="مصفوفة الأكواد Matrix" sheetId="3" r:id="rId3"/>
    <sheet name="مواصفات الليبل Label Spe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" i="2"/>
  <c r="B8" i="4"/>
  <c r="B11" i="4" s="1"/>
  <c r="B15" i="4" s="1"/>
  <c r="B7" i="4"/>
  <c r="B10" i="4" s="1"/>
  <c r="B14" i="4" s="1"/>
  <c r="B16" i="4" s="1"/>
  <c r="B18" i="4" s="1"/>
  <c r="C525" i="2"/>
  <c r="C526" i="2" s="1"/>
  <c r="E36" i="1"/>
  <c r="C36" i="1"/>
  <c r="E35" i="1"/>
  <c r="C35" i="1"/>
  <c r="C34" i="1"/>
  <c r="B25" i="1"/>
  <c r="B24" i="1"/>
  <c r="B23" i="1"/>
  <c r="B22" i="1"/>
  <c r="B21" i="1"/>
  <c r="C16" i="1"/>
  <c r="C15" i="1"/>
  <c r="C14" i="1"/>
  <c r="C17" i="1" s="1"/>
  <c r="G10" i="1"/>
  <c r="H9" i="1"/>
  <c r="I9" i="1" s="1"/>
  <c r="H8" i="1"/>
  <c r="H7" i="1"/>
  <c r="I7" i="1" s="1"/>
  <c r="E34" i="1" s="1"/>
  <c r="H6" i="1"/>
  <c r="H5" i="1"/>
  <c r="I5" i="1" s="1"/>
  <c r="H4" i="1"/>
  <c r="C37" i="1" l="1"/>
  <c r="C38" i="1"/>
  <c r="D16" i="1"/>
  <c r="I8" i="1"/>
  <c r="E16" i="1" s="1"/>
  <c r="D15" i="1"/>
  <c r="I6" i="1"/>
  <c r="E15" i="1" s="1"/>
  <c r="D14" i="1"/>
  <c r="D17" i="1" s="1"/>
  <c r="E25" i="1"/>
  <c r="E24" i="1"/>
  <c r="E23" i="1"/>
  <c r="E22" i="1"/>
  <c r="E21" i="1"/>
  <c r="E26" i="1" s="1"/>
  <c r="H10" i="1"/>
  <c r="I4" i="1"/>
  <c r="I10" i="1" l="1"/>
  <c r="E14" i="1"/>
  <c r="E17" i="1" s="1"/>
  <c r="E30" i="1" s="1"/>
  <c r="E29" i="1" l="1"/>
  <c r="E37" i="1"/>
  <c r="E38" i="1" s="1"/>
</calcChain>
</file>

<file path=xl/sharedStrings.xml><?xml version="1.0" encoding="utf-8"?>
<sst xmlns="http://schemas.openxmlformats.org/spreadsheetml/2006/main" count="3818" uniqueCount="628">
  <si>
    <t>تقسيم غرفة المنطقة الجافة — Dry Section Room Layout</t>
  </si>
  <si>
    <t>المنطقة
Zone</t>
  </si>
  <si>
    <t>الحي
Area</t>
  </si>
  <si>
    <t>الجهة
Side</t>
  </si>
  <si>
    <t>الاتجاه
Direction</t>
  </si>
  <si>
    <t>مستويات (Door)
Levels</t>
  </si>
  <si>
    <t>بالتات بالعمق
Pallets deep</t>
  </si>
  <si>
    <t>راكات
Racks</t>
  </si>
  <si>
    <t>بالت / مستوى
Pallets per level</t>
  </si>
  <si>
    <t>إجمالي البالت
Total pallets</t>
  </si>
  <si>
    <t>ارتفاع الراك (سم)
Rack height (cm)</t>
  </si>
  <si>
    <t>اللون
Color</t>
  </si>
  <si>
    <t>المنطقة 1 / Zone 1</t>
  </si>
  <si>
    <t>A</t>
  </si>
  <si>
    <t>يمين / RIGHT</t>
  </si>
  <si>
    <t>→</t>
  </si>
  <si>
    <t>أحمر Red</t>
  </si>
  <si>
    <t>B</t>
  </si>
  <si>
    <t>أصفر Yellow</t>
  </si>
  <si>
    <t>المنطقة 2 / Zone 2</t>
  </si>
  <si>
    <t>C</t>
  </si>
  <si>
    <t>أخضر مزرق Teal</t>
  </si>
  <si>
    <t>D</t>
  </si>
  <si>
    <t>يسار / LEFT</t>
  </si>
  <si>
    <t>أزرق Blue</t>
  </si>
  <si>
    <t>المنطقة 3 / Zone 3</t>
  </si>
  <si>
    <t>E</t>
  </si>
  <si>
    <t>أخضر Green</t>
  </si>
  <si>
    <t>F</t>
  </si>
  <si>
    <t>بنفسجي Purple</t>
  </si>
  <si>
    <t>الإجمالي / Total</t>
  </si>
  <si>
    <t>① إجمالي البالت لكل منطقة / Pallets per zone</t>
  </si>
  <si>
    <t>الأحياء
Areas</t>
  </si>
  <si>
    <t>بالت / مستوى
Per level</t>
  </si>
  <si>
    <t>A , B</t>
  </si>
  <si>
    <t>C , D</t>
  </si>
  <si>
    <t>E , F</t>
  </si>
  <si>
    <t>② إجمالي البالت في كل مستوى (Door) / Pallets per level, whole room</t>
  </si>
  <si>
    <t>المستوى
Level</t>
  </si>
  <si>
    <t>الأحياء المشاركة
Areas counted</t>
  </si>
  <si>
    <t>المستوى 1 / Level 1</t>
  </si>
  <si>
    <t>المستوى 2 / Level 2</t>
  </si>
  <si>
    <t>المستوى 3 / Level 3</t>
  </si>
  <si>
    <t>المستوى 4 / Level 4</t>
  </si>
  <si>
    <t>المستوى 5 / Level 5</t>
  </si>
  <si>
    <t>③ إجمالي بالتات الغرفة كاملة / WHOLE ROOM TOTAL</t>
  </si>
  <si>
    <t>إجمالي الغرفة (بالت)
Room total (pallets)</t>
  </si>
  <si>
    <t>مطابقة / Check (levels = zones)</t>
  </si>
  <si>
    <t>④ حسب ارتفاع الراك / By rack height (cm)</t>
  </si>
  <si>
    <t>الارتفاع
Height (cm)</t>
  </si>
  <si>
    <t>بدون ارتفاع / Not set</t>
  </si>
  <si>
    <t>أكواد الليبلات = حرف الحي + حرف المستوى + رقم الراك   |   Label code = Area + Level + Rack no.</t>
  </si>
  <si>
    <t>مثال / Example:  AA1 = الحي A، المستوى A (الأرضي)، راك 1  |  Area A, Level A (floor), Rack 1</t>
  </si>
  <si>
    <t>م
#</t>
  </si>
  <si>
    <t>الكود
Code</t>
  </si>
  <si>
    <t>موضع المستوى
Level position</t>
  </si>
  <si>
    <t>رقم الراك
Rack no.</t>
  </si>
  <si>
    <t>ارتفاع الراك
Height (cm)</t>
  </si>
  <si>
    <t>AA1</t>
  </si>
  <si>
    <t>أرضي / Floor</t>
  </si>
  <si>
    <t>AB1</t>
  </si>
  <si>
    <t>مستوى 2 / Level 2</t>
  </si>
  <si>
    <t>AC1</t>
  </si>
  <si>
    <t>مستوى 3 / Level 3</t>
  </si>
  <si>
    <t>AD1</t>
  </si>
  <si>
    <t>مستوى 4 / Level 4</t>
  </si>
  <si>
    <t>AE1</t>
  </si>
  <si>
    <t>علوي / Top</t>
  </si>
  <si>
    <t>AA2</t>
  </si>
  <si>
    <t>AB2</t>
  </si>
  <si>
    <t>AC2</t>
  </si>
  <si>
    <t>AD2</t>
  </si>
  <si>
    <t>AE2</t>
  </si>
  <si>
    <t>AA3</t>
  </si>
  <si>
    <t>AB3</t>
  </si>
  <si>
    <t>AC3</t>
  </si>
  <si>
    <t>AD3</t>
  </si>
  <si>
    <t>AE3</t>
  </si>
  <si>
    <t>AA4</t>
  </si>
  <si>
    <t>AB4</t>
  </si>
  <si>
    <t>AC4</t>
  </si>
  <si>
    <t>AD4</t>
  </si>
  <si>
    <t>AE4</t>
  </si>
  <si>
    <t>AA5</t>
  </si>
  <si>
    <t>AB5</t>
  </si>
  <si>
    <t>AC5</t>
  </si>
  <si>
    <t>AD5</t>
  </si>
  <si>
    <t>AE5</t>
  </si>
  <si>
    <t>AA6</t>
  </si>
  <si>
    <t>AB6</t>
  </si>
  <si>
    <t>AC6</t>
  </si>
  <si>
    <t>AD6</t>
  </si>
  <si>
    <t>AE6</t>
  </si>
  <si>
    <t>AA7</t>
  </si>
  <si>
    <t>AB7</t>
  </si>
  <si>
    <t>AC7</t>
  </si>
  <si>
    <t>AD7</t>
  </si>
  <si>
    <t>AE7</t>
  </si>
  <si>
    <t>AA8</t>
  </si>
  <si>
    <t>AB8</t>
  </si>
  <si>
    <t>AC8</t>
  </si>
  <si>
    <t>AD8</t>
  </si>
  <si>
    <t>AE8</t>
  </si>
  <si>
    <t>AA9</t>
  </si>
  <si>
    <t>AB9</t>
  </si>
  <si>
    <t>AC9</t>
  </si>
  <si>
    <t>AD9</t>
  </si>
  <si>
    <t>AE9</t>
  </si>
  <si>
    <t>AA10</t>
  </si>
  <si>
    <t>AB10</t>
  </si>
  <si>
    <t>AC10</t>
  </si>
  <si>
    <t>AD10</t>
  </si>
  <si>
    <t>AE10</t>
  </si>
  <si>
    <t>AA11</t>
  </si>
  <si>
    <t>AB11</t>
  </si>
  <si>
    <t>AC11</t>
  </si>
  <si>
    <t>AD11</t>
  </si>
  <si>
    <t>AE11</t>
  </si>
  <si>
    <t>AA12</t>
  </si>
  <si>
    <t>AB12</t>
  </si>
  <si>
    <t>AC12</t>
  </si>
  <si>
    <t>AD12</t>
  </si>
  <si>
    <t>AE12</t>
  </si>
  <si>
    <t>AA13</t>
  </si>
  <si>
    <t>AB13</t>
  </si>
  <si>
    <t>AC13</t>
  </si>
  <si>
    <t>AD13</t>
  </si>
  <si>
    <t>AE13</t>
  </si>
  <si>
    <t>AA14</t>
  </si>
  <si>
    <t>AB14</t>
  </si>
  <si>
    <t>AC14</t>
  </si>
  <si>
    <t>AD14</t>
  </si>
  <si>
    <t>AE14</t>
  </si>
  <si>
    <t>AA15</t>
  </si>
  <si>
    <t>AB15</t>
  </si>
  <si>
    <t>AC15</t>
  </si>
  <si>
    <t>AD15</t>
  </si>
  <si>
    <t>AE15</t>
  </si>
  <si>
    <t>AA16</t>
  </si>
  <si>
    <t>AB16</t>
  </si>
  <si>
    <t>AC16</t>
  </si>
  <si>
    <t>AD16</t>
  </si>
  <si>
    <t>AE16</t>
  </si>
  <si>
    <t>AA17</t>
  </si>
  <si>
    <t>AB17</t>
  </si>
  <si>
    <t>AC17</t>
  </si>
  <si>
    <t>AD17</t>
  </si>
  <si>
    <t>AE17</t>
  </si>
  <si>
    <t>AA18</t>
  </si>
  <si>
    <t>AB18</t>
  </si>
  <si>
    <t>AC18</t>
  </si>
  <si>
    <t>AD18</t>
  </si>
  <si>
    <t>AE18</t>
  </si>
  <si>
    <t>BA1</t>
  </si>
  <si>
    <t>BB1</t>
  </si>
  <si>
    <t>BC1</t>
  </si>
  <si>
    <t>BD1</t>
  </si>
  <si>
    <t>BE1</t>
  </si>
  <si>
    <t>BA2</t>
  </si>
  <si>
    <t>BB2</t>
  </si>
  <si>
    <t>BC2</t>
  </si>
  <si>
    <t>BD2</t>
  </si>
  <si>
    <t>BE2</t>
  </si>
  <si>
    <t>BA3</t>
  </si>
  <si>
    <t>BB3</t>
  </si>
  <si>
    <t>BC3</t>
  </si>
  <si>
    <t>BD3</t>
  </si>
  <si>
    <t>BE3</t>
  </si>
  <si>
    <t>BA4</t>
  </si>
  <si>
    <t>BB4</t>
  </si>
  <si>
    <t>BC4</t>
  </si>
  <si>
    <t>BD4</t>
  </si>
  <si>
    <t>BE4</t>
  </si>
  <si>
    <t>BA5</t>
  </si>
  <si>
    <t>BB5</t>
  </si>
  <si>
    <t>BC5</t>
  </si>
  <si>
    <t>BD5</t>
  </si>
  <si>
    <t>BE5</t>
  </si>
  <si>
    <t>BA6</t>
  </si>
  <si>
    <t>BB6</t>
  </si>
  <si>
    <t>BC6</t>
  </si>
  <si>
    <t>BD6</t>
  </si>
  <si>
    <t>BE6</t>
  </si>
  <si>
    <t>BA7</t>
  </si>
  <si>
    <t>BB7</t>
  </si>
  <si>
    <t>BC7</t>
  </si>
  <si>
    <t>BD7</t>
  </si>
  <si>
    <t>BE7</t>
  </si>
  <si>
    <t>BA8</t>
  </si>
  <si>
    <t>BB8</t>
  </si>
  <si>
    <t>BC8</t>
  </si>
  <si>
    <t>BD8</t>
  </si>
  <si>
    <t>BE8</t>
  </si>
  <si>
    <t>BA9</t>
  </si>
  <si>
    <t>BB9</t>
  </si>
  <si>
    <t>BC9</t>
  </si>
  <si>
    <t>BD9</t>
  </si>
  <si>
    <t>BE9</t>
  </si>
  <si>
    <t>BA10</t>
  </si>
  <si>
    <t>BB10</t>
  </si>
  <si>
    <t>BC10</t>
  </si>
  <si>
    <t>BD10</t>
  </si>
  <si>
    <t>BE10</t>
  </si>
  <si>
    <t>BA11</t>
  </si>
  <si>
    <t>BB11</t>
  </si>
  <si>
    <t>BC11</t>
  </si>
  <si>
    <t>BD11</t>
  </si>
  <si>
    <t>BE11</t>
  </si>
  <si>
    <t>BA12</t>
  </si>
  <si>
    <t>BB12</t>
  </si>
  <si>
    <t>BC12</t>
  </si>
  <si>
    <t>BD12</t>
  </si>
  <si>
    <t>BE12</t>
  </si>
  <si>
    <t>BA13</t>
  </si>
  <si>
    <t>BB13</t>
  </si>
  <si>
    <t>BC13</t>
  </si>
  <si>
    <t>BD13</t>
  </si>
  <si>
    <t>BE13</t>
  </si>
  <si>
    <t>BA14</t>
  </si>
  <si>
    <t>BB14</t>
  </si>
  <si>
    <t>BC14</t>
  </si>
  <si>
    <t>BD14</t>
  </si>
  <si>
    <t>BE14</t>
  </si>
  <si>
    <t>BA15</t>
  </si>
  <si>
    <t>BB15</t>
  </si>
  <si>
    <t>BC15</t>
  </si>
  <si>
    <t>BD15</t>
  </si>
  <si>
    <t>BE15</t>
  </si>
  <si>
    <t>BA16</t>
  </si>
  <si>
    <t>BB16</t>
  </si>
  <si>
    <t>BC16</t>
  </si>
  <si>
    <t>BD16</t>
  </si>
  <si>
    <t>BE16</t>
  </si>
  <si>
    <t>BA17</t>
  </si>
  <si>
    <t>BB17</t>
  </si>
  <si>
    <t>BC17</t>
  </si>
  <si>
    <t>BD17</t>
  </si>
  <si>
    <t>BE17</t>
  </si>
  <si>
    <t>BA18</t>
  </si>
  <si>
    <t>BB18</t>
  </si>
  <si>
    <t>BC18</t>
  </si>
  <si>
    <t>BD18</t>
  </si>
  <si>
    <t>BE18</t>
  </si>
  <si>
    <t>BA19</t>
  </si>
  <si>
    <t>BB19</t>
  </si>
  <si>
    <t>BC19</t>
  </si>
  <si>
    <t>BD19</t>
  </si>
  <si>
    <t>BE19</t>
  </si>
  <si>
    <t>CA1</t>
  </si>
  <si>
    <t>CB1</t>
  </si>
  <si>
    <t>CC1</t>
  </si>
  <si>
    <t>CD1</t>
  </si>
  <si>
    <t>CE1</t>
  </si>
  <si>
    <t>CA2</t>
  </si>
  <si>
    <t>CB2</t>
  </si>
  <si>
    <t>CC2</t>
  </si>
  <si>
    <t>CD2</t>
  </si>
  <si>
    <t>CE2</t>
  </si>
  <si>
    <t>CA3</t>
  </si>
  <si>
    <t>CB3</t>
  </si>
  <si>
    <t>CC3</t>
  </si>
  <si>
    <t>CD3</t>
  </si>
  <si>
    <t>CE3</t>
  </si>
  <si>
    <t>CA4</t>
  </si>
  <si>
    <t>CB4</t>
  </si>
  <si>
    <t>CC4</t>
  </si>
  <si>
    <t>CD4</t>
  </si>
  <si>
    <t>CE4</t>
  </si>
  <si>
    <t>CA5</t>
  </si>
  <si>
    <t>CB5</t>
  </si>
  <si>
    <t>CC5</t>
  </si>
  <si>
    <t>CD5</t>
  </si>
  <si>
    <t>CE5</t>
  </si>
  <si>
    <t>CA6</t>
  </si>
  <si>
    <t>CB6</t>
  </si>
  <si>
    <t>CC6</t>
  </si>
  <si>
    <t>CD6</t>
  </si>
  <si>
    <t>CE6</t>
  </si>
  <si>
    <t>CA7</t>
  </si>
  <si>
    <t>CB7</t>
  </si>
  <si>
    <t>CC7</t>
  </si>
  <si>
    <t>CD7</t>
  </si>
  <si>
    <t>CE7</t>
  </si>
  <si>
    <t>CA8</t>
  </si>
  <si>
    <t>CB8</t>
  </si>
  <si>
    <t>CC8</t>
  </si>
  <si>
    <t>CD8</t>
  </si>
  <si>
    <t>CE8</t>
  </si>
  <si>
    <t>CA9</t>
  </si>
  <si>
    <t>CB9</t>
  </si>
  <si>
    <t>CC9</t>
  </si>
  <si>
    <t>CD9</t>
  </si>
  <si>
    <t>CE9</t>
  </si>
  <si>
    <t>CA10</t>
  </si>
  <si>
    <t>CB10</t>
  </si>
  <si>
    <t>CC10</t>
  </si>
  <si>
    <t>CD10</t>
  </si>
  <si>
    <t>CE10</t>
  </si>
  <si>
    <t>CA11</t>
  </si>
  <si>
    <t>CB11</t>
  </si>
  <si>
    <t>CC11</t>
  </si>
  <si>
    <t>CD11</t>
  </si>
  <si>
    <t>CE11</t>
  </si>
  <si>
    <t>CA12</t>
  </si>
  <si>
    <t>CB12</t>
  </si>
  <si>
    <t>CC12</t>
  </si>
  <si>
    <t>CD12</t>
  </si>
  <si>
    <t>CE12</t>
  </si>
  <si>
    <t>CA13</t>
  </si>
  <si>
    <t>CB13</t>
  </si>
  <si>
    <t>CC13</t>
  </si>
  <si>
    <t>CD13</t>
  </si>
  <si>
    <t>CE13</t>
  </si>
  <si>
    <t>CA14</t>
  </si>
  <si>
    <t>CB14</t>
  </si>
  <si>
    <t>CC14</t>
  </si>
  <si>
    <t>CD14</t>
  </si>
  <si>
    <t>CE14</t>
  </si>
  <si>
    <t>DA1</t>
  </si>
  <si>
    <t>DB1</t>
  </si>
  <si>
    <t>DC1</t>
  </si>
  <si>
    <t>DD1</t>
  </si>
  <si>
    <t>DA2</t>
  </si>
  <si>
    <t>DB2</t>
  </si>
  <si>
    <t>DC2</t>
  </si>
  <si>
    <t>DD2</t>
  </si>
  <si>
    <t>DA3</t>
  </si>
  <si>
    <t>DB3</t>
  </si>
  <si>
    <t>DC3</t>
  </si>
  <si>
    <t>DD3</t>
  </si>
  <si>
    <t>DA4</t>
  </si>
  <si>
    <t>DB4</t>
  </si>
  <si>
    <t>DC4</t>
  </si>
  <si>
    <t>DD4</t>
  </si>
  <si>
    <t>DA5</t>
  </si>
  <si>
    <t>DB5</t>
  </si>
  <si>
    <t>DC5</t>
  </si>
  <si>
    <t>DD5</t>
  </si>
  <si>
    <t>DA6</t>
  </si>
  <si>
    <t>DB6</t>
  </si>
  <si>
    <t>DC6</t>
  </si>
  <si>
    <t>DD6</t>
  </si>
  <si>
    <t>DA7</t>
  </si>
  <si>
    <t>DB7</t>
  </si>
  <si>
    <t>DC7</t>
  </si>
  <si>
    <t>DD7</t>
  </si>
  <si>
    <t>DA8</t>
  </si>
  <si>
    <t>DB8</t>
  </si>
  <si>
    <t>DC8</t>
  </si>
  <si>
    <t>DD8</t>
  </si>
  <si>
    <t>DA9</t>
  </si>
  <si>
    <t>DB9</t>
  </si>
  <si>
    <t>DC9</t>
  </si>
  <si>
    <t>DD9</t>
  </si>
  <si>
    <t>DA10</t>
  </si>
  <si>
    <t>DB10</t>
  </si>
  <si>
    <t>DC10</t>
  </si>
  <si>
    <t>DD10</t>
  </si>
  <si>
    <t>DA11</t>
  </si>
  <si>
    <t>DB11</t>
  </si>
  <si>
    <t>DC11</t>
  </si>
  <si>
    <t>DD11</t>
  </si>
  <si>
    <t>DA12</t>
  </si>
  <si>
    <t>DB12</t>
  </si>
  <si>
    <t>DC12</t>
  </si>
  <si>
    <t>DD12</t>
  </si>
  <si>
    <t>DA13</t>
  </si>
  <si>
    <t>DB13</t>
  </si>
  <si>
    <t>DC13</t>
  </si>
  <si>
    <t>DD13</t>
  </si>
  <si>
    <t>DA14</t>
  </si>
  <si>
    <t>DB14</t>
  </si>
  <si>
    <t>DC14</t>
  </si>
  <si>
    <t>DD14</t>
  </si>
  <si>
    <t>DA15</t>
  </si>
  <si>
    <t>DB15</t>
  </si>
  <si>
    <t>DC15</t>
  </si>
  <si>
    <t>DD15</t>
  </si>
  <si>
    <t>EA1</t>
  </si>
  <si>
    <t>EB1</t>
  </si>
  <si>
    <t>EC1</t>
  </si>
  <si>
    <t>ED1</t>
  </si>
  <si>
    <t>EE1</t>
  </si>
  <si>
    <t>EA2</t>
  </si>
  <si>
    <t>EB2</t>
  </si>
  <si>
    <t>EC2</t>
  </si>
  <si>
    <t>ED2</t>
  </si>
  <si>
    <t>EE2</t>
  </si>
  <si>
    <t>EA3</t>
  </si>
  <si>
    <t>EB3</t>
  </si>
  <si>
    <t>EC3</t>
  </si>
  <si>
    <t>ED3</t>
  </si>
  <si>
    <t>EE3</t>
  </si>
  <si>
    <t>EA4</t>
  </si>
  <si>
    <t>EB4</t>
  </si>
  <si>
    <t>EC4</t>
  </si>
  <si>
    <t>ED4</t>
  </si>
  <si>
    <t>EE4</t>
  </si>
  <si>
    <t>EA5</t>
  </si>
  <si>
    <t>EB5</t>
  </si>
  <si>
    <t>EC5</t>
  </si>
  <si>
    <t>ED5</t>
  </si>
  <si>
    <t>EE5</t>
  </si>
  <si>
    <t>EA6</t>
  </si>
  <si>
    <t>EB6</t>
  </si>
  <si>
    <t>EC6</t>
  </si>
  <si>
    <t>ED6</t>
  </si>
  <si>
    <t>EE6</t>
  </si>
  <si>
    <t>EA7</t>
  </si>
  <si>
    <t>EB7</t>
  </si>
  <si>
    <t>EC7</t>
  </si>
  <si>
    <t>ED7</t>
  </si>
  <si>
    <t>EE7</t>
  </si>
  <si>
    <t>EA8</t>
  </si>
  <si>
    <t>EB8</t>
  </si>
  <si>
    <t>EC8</t>
  </si>
  <si>
    <t>ED8</t>
  </si>
  <si>
    <t>EE8</t>
  </si>
  <si>
    <t>EA9</t>
  </si>
  <si>
    <t>EB9</t>
  </si>
  <si>
    <t>EC9</t>
  </si>
  <si>
    <t>ED9</t>
  </si>
  <si>
    <t>EE9</t>
  </si>
  <si>
    <t>EA10</t>
  </si>
  <si>
    <t>EB10</t>
  </si>
  <si>
    <t>EC10</t>
  </si>
  <si>
    <t>ED10</t>
  </si>
  <si>
    <t>EE10</t>
  </si>
  <si>
    <t>EA11</t>
  </si>
  <si>
    <t>EB11</t>
  </si>
  <si>
    <t>EC11</t>
  </si>
  <si>
    <t>ED11</t>
  </si>
  <si>
    <t>EE11</t>
  </si>
  <si>
    <t>EA12</t>
  </si>
  <si>
    <t>EB12</t>
  </si>
  <si>
    <t>EC12</t>
  </si>
  <si>
    <t>ED12</t>
  </si>
  <si>
    <t>EE12</t>
  </si>
  <si>
    <t>EA13</t>
  </si>
  <si>
    <t>EB13</t>
  </si>
  <si>
    <t>EC13</t>
  </si>
  <si>
    <t>ED13</t>
  </si>
  <si>
    <t>EE13</t>
  </si>
  <si>
    <t>EA14</t>
  </si>
  <si>
    <t>EB14</t>
  </si>
  <si>
    <t>EC14</t>
  </si>
  <si>
    <t>ED14</t>
  </si>
  <si>
    <t>EE14</t>
  </si>
  <si>
    <t>EA15</t>
  </si>
  <si>
    <t>EB15</t>
  </si>
  <si>
    <t>EC15</t>
  </si>
  <si>
    <t>ED15</t>
  </si>
  <si>
    <t>EE15</t>
  </si>
  <si>
    <t>EA16</t>
  </si>
  <si>
    <t>EB16</t>
  </si>
  <si>
    <t>EC16</t>
  </si>
  <si>
    <t>ED16</t>
  </si>
  <si>
    <t>EE16</t>
  </si>
  <si>
    <t>EA17</t>
  </si>
  <si>
    <t>EB17</t>
  </si>
  <si>
    <t>EC17</t>
  </si>
  <si>
    <t>ED17</t>
  </si>
  <si>
    <t>EE17</t>
  </si>
  <si>
    <t>EA18</t>
  </si>
  <si>
    <t>EB18</t>
  </si>
  <si>
    <t>EC18</t>
  </si>
  <si>
    <t>ED18</t>
  </si>
  <si>
    <t>EE18</t>
  </si>
  <si>
    <t>EA19</t>
  </si>
  <si>
    <t>EB19</t>
  </si>
  <si>
    <t>EC19</t>
  </si>
  <si>
    <t>ED19</t>
  </si>
  <si>
    <t>EE19</t>
  </si>
  <si>
    <t>EA20</t>
  </si>
  <si>
    <t>EB20</t>
  </si>
  <si>
    <t>EC20</t>
  </si>
  <si>
    <t>ED20</t>
  </si>
  <si>
    <t>EE20</t>
  </si>
  <si>
    <t>FA1</t>
  </si>
  <si>
    <t>FB1</t>
  </si>
  <si>
    <t>FC1</t>
  </si>
  <si>
    <t>FD1</t>
  </si>
  <si>
    <t>FE1</t>
  </si>
  <si>
    <t>FA2</t>
  </si>
  <si>
    <t>FB2</t>
  </si>
  <si>
    <t>FC2</t>
  </si>
  <si>
    <t>FD2</t>
  </si>
  <si>
    <t>FE2</t>
  </si>
  <si>
    <t>FA3</t>
  </si>
  <si>
    <t>FB3</t>
  </si>
  <si>
    <t>FC3</t>
  </si>
  <si>
    <t>FD3</t>
  </si>
  <si>
    <t>FE3</t>
  </si>
  <si>
    <t>FA4</t>
  </si>
  <si>
    <t>FB4</t>
  </si>
  <si>
    <t>FC4</t>
  </si>
  <si>
    <t>FD4</t>
  </si>
  <si>
    <t>FE4</t>
  </si>
  <si>
    <t>FA5</t>
  </si>
  <si>
    <t>FB5</t>
  </si>
  <si>
    <t>FC5</t>
  </si>
  <si>
    <t>FD5</t>
  </si>
  <si>
    <t>FE5</t>
  </si>
  <si>
    <t>FA6</t>
  </si>
  <si>
    <t>FB6</t>
  </si>
  <si>
    <t>FC6</t>
  </si>
  <si>
    <t>FD6</t>
  </si>
  <si>
    <t>FE6</t>
  </si>
  <si>
    <t>FA7</t>
  </si>
  <si>
    <t>FB7</t>
  </si>
  <si>
    <t>FC7</t>
  </si>
  <si>
    <t>FD7</t>
  </si>
  <si>
    <t>FE7</t>
  </si>
  <si>
    <t>FA8</t>
  </si>
  <si>
    <t>FB8</t>
  </si>
  <si>
    <t>FC8</t>
  </si>
  <si>
    <t>FD8</t>
  </si>
  <si>
    <t>FE8</t>
  </si>
  <si>
    <t>FA9</t>
  </si>
  <si>
    <t>FB9</t>
  </si>
  <si>
    <t>FC9</t>
  </si>
  <si>
    <t>FD9</t>
  </si>
  <si>
    <t>FE9</t>
  </si>
  <si>
    <t>FA10</t>
  </si>
  <si>
    <t>FB10</t>
  </si>
  <si>
    <t>FC10</t>
  </si>
  <si>
    <t>FD10</t>
  </si>
  <si>
    <t>FE10</t>
  </si>
  <si>
    <t>FA11</t>
  </si>
  <si>
    <t>FB11</t>
  </si>
  <si>
    <t>FC11</t>
  </si>
  <si>
    <t>FD11</t>
  </si>
  <si>
    <t>FE11</t>
  </si>
  <si>
    <t>FA12</t>
  </si>
  <si>
    <t>FB12</t>
  </si>
  <si>
    <t>FC12</t>
  </si>
  <si>
    <t>FD12</t>
  </si>
  <si>
    <t>FE12</t>
  </si>
  <si>
    <t>FA13</t>
  </si>
  <si>
    <t>FB13</t>
  </si>
  <si>
    <t>FC13</t>
  </si>
  <si>
    <t>FD13</t>
  </si>
  <si>
    <t>FE13</t>
  </si>
  <si>
    <t>FA14</t>
  </si>
  <si>
    <t>FB14</t>
  </si>
  <si>
    <t>FC14</t>
  </si>
  <si>
    <t>FD14</t>
  </si>
  <si>
    <t>FE14</t>
  </si>
  <si>
    <t>FA15</t>
  </si>
  <si>
    <t>FB15</t>
  </si>
  <si>
    <t>FC15</t>
  </si>
  <si>
    <t>FD15</t>
  </si>
  <si>
    <t>FE15</t>
  </si>
  <si>
    <t>FA16</t>
  </si>
  <si>
    <t>FB16</t>
  </si>
  <si>
    <t>FC16</t>
  </si>
  <si>
    <t>FD16</t>
  </si>
  <si>
    <t>FE16</t>
  </si>
  <si>
    <t>FA17</t>
  </si>
  <si>
    <t>FB17</t>
  </si>
  <si>
    <t>FC17</t>
  </si>
  <si>
    <t>FD17</t>
  </si>
  <si>
    <t>FE17</t>
  </si>
  <si>
    <t>FA18</t>
  </si>
  <si>
    <t>FB18</t>
  </si>
  <si>
    <t>FC18</t>
  </si>
  <si>
    <t>FD18</t>
  </si>
  <si>
    <t>FE18</t>
  </si>
  <si>
    <t>FA19</t>
  </si>
  <si>
    <t>FB19</t>
  </si>
  <si>
    <t>FC19</t>
  </si>
  <si>
    <t>FD19</t>
  </si>
  <si>
    <t>FE19</t>
  </si>
  <si>
    <t>مطابقة / Check</t>
  </si>
  <si>
    <t>مصفوفة الأكواد — الراك في الصفوف والمستويات في الأعمدة / Rack rows × Level columns</t>
  </si>
  <si>
    <t>الحي A / Area A — يمين / RIGHT</t>
  </si>
  <si>
    <t>الحي B / Area B — يمين / RIGHT</t>
  </si>
  <si>
    <t>الحي C / Area C — يمين / RIGHT</t>
  </si>
  <si>
    <t>الحي D / Area D — يسار / LEFT</t>
  </si>
  <si>
    <t>الحي E / Area E — يسار / LEFT</t>
  </si>
  <si>
    <t>الحي F / Area F — يسار / LEFT</t>
  </si>
  <si>
    <t>راك
Rack</t>
  </si>
  <si>
    <t>مواصفات الليبل — Label Specifications</t>
  </si>
  <si>
    <t>البند
Item</t>
  </si>
  <si>
    <t>القيمة
Value</t>
  </si>
  <si>
    <t>الوحدة
Unit</t>
  </si>
  <si>
    <t>ملاحظة
Note</t>
  </si>
  <si>
    <t>عرض الليبل / Label width</t>
  </si>
  <si>
    <t>سم / cm</t>
  </si>
  <si>
    <t>من الورقة — عدّل إذا لزم / from the sheet (editable)</t>
  </si>
  <si>
    <t>طول الليبل / Label length</t>
  </si>
  <si>
    <t>زيادة الإطار / Frame extra</t>
  </si>
  <si>
    <t>الإطار أكبر من المقاس بـ 1 سم / frame is spec + 1 cm</t>
  </si>
  <si>
    <t>عرض الإطار / Frame width</t>
  </si>
  <si>
    <t>طول الإطار / Frame length</t>
  </si>
  <si>
    <t>مسافة علامات القص / Crop-mark gap</t>
  </si>
  <si>
    <t>خارج الإطار من كل جهة / outside the frame, each side</t>
  </si>
  <si>
    <t>عرض خلية الطباعة / Cell width</t>
  </si>
  <si>
    <t>الإطار + علامات القص / frame + crop marks</t>
  </si>
  <si>
    <t>طول خلية الطباعة / Cell length</t>
  </si>
  <si>
    <t>عرض A4 (أفقي) / A4 width (landscape)</t>
  </si>
  <si>
    <t>ارتفاع A4 (أفقي) / A4 height (landscape)</t>
  </si>
  <si>
    <t>أعمدة في الصفحة / Columns per page</t>
  </si>
  <si>
    <t>عدد / count</t>
  </si>
  <si>
    <t>A4 أفقي / landscape</t>
  </si>
  <si>
    <t>صفوف في الصفحة / Rows per page</t>
  </si>
  <si>
    <t>ليبل في الصفحة / Labels per page</t>
  </si>
  <si>
    <t>عدد الليبلات المطلوبة / Labels needed</t>
  </si>
  <si>
    <t>3 مناطق + 6 أحياء / 3 zones + 6 areas</t>
  </si>
  <si>
    <t>عدد الصفحات / Pages needed</t>
  </si>
  <si>
    <t>صفحة / page</t>
  </si>
  <si>
    <t>الورق / Paper</t>
  </si>
  <si>
    <t>A4</t>
  </si>
  <si>
    <t>طباعة بالألوان / colour print</t>
  </si>
  <si>
    <t>العرض + الزيادة / width + extra</t>
  </si>
  <si>
    <t>الطول + الزيادة / length + extra</t>
  </si>
  <si>
    <t>ملاحظة: ارتفاعات الراكات: D = 246 سم (4 مستويات)، E = 195 سم، والباقي A / B / C / F = 175 سم. أي تعديل في عمود J يحدّث الجداول تلقائيًا. / Rack heights: D = 246 cm (4 levels), E = 195 cm, A / B / C / F = 175 cm. Edit column J and the tables update.</t>
  </si>
  <si>
    <t>AA19</t>
  </si>
  <si>
    <t>AB19</t>
  </si>
  <si>
    <t>AC19</t>
  </si>
  <si>
    <t>AD19</t>
  </si>
  <si>
    <t>AE19</t>
  </si>
  <si>
    <t>CA15</t>
  </si>
  <si>
    <t>CB15</t>
  </si>
  <si>
    <t>CC15</t>
  </si>
  <si>
    <t>CD15</t>
  </si>
  <si>
    <t>CE15</t>
  </si>
  <si>
    <t>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</si>
</sst>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b/>
      <sz val="15"/>
      <color rgb="FFB71C1C"/>
      <name val="Arial"/>
      <family val="2"/>
    </font>
    <font>
      <b/>
      <sz val="12"/>
      <color rgb="FFFFFFFF"/>
      <name val="Arial"/>
      <family val="2"/>
    </font>
    <font>
      <b/>
      <sz val="14"/>
      <color rgb="FFB71C1C"/>
      <name val="Arial"/>
      <family val="2"/>
    </font>
    <font>
      <b/>
      <sz val="12"/>
      <color rgb="FFFFFFFF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name val="Times New Roman"/>
      <family val="1"/>
      <scheme val="major"/>
    </font>
    <font>
      <b/>
      <sz val="11"/>
      <color rgb="FFFFFFFF"/>
      <name val="Times New Roman"/>
      <family val="1"/>
      <scheme val="major"/>
    </font>
    <font>
      <b/>
      <sz val="11"/>
      <color rgb="FF1B1B1B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2"/>
      <name val="Times New Roman"/>
      <family val="1"/>
      <scheme val="major"/>
    </font>
    <font>
      <b/>
      <sz val="12"/>
      <color rgb="FF1B1B1B"/>
      <name val="Times New Roman"/>
      <family val="1"/>
      <scheme val="major"/>
    </font>
    <font>
      <b/>
      <sz val="13"/>
      <name val="Times New Roman"/>
      <family val="1"/>
      <scheme val="major"/>
    </font>
    <font>
      <b/>
      <sz val="12"/>
      <color rgb="FFB71C1C"/>
      <name val="Times New Roman"/>
      <family val="1"/>
      <scheme val="major"/>
    </font>
    <font>
      <b/>
      <sz val="13"/>
      <color rgb="FFB71C1C"/>
      <name val="Times New Roman"/>
      <family val="1"/>
      <scheme val="major"/>
    </font>
    <font>
      <sz val="14"/>
      <color rgb="FFB71C1C"/>
      <name val="Times New Roman"/>
      <family val="1"/>
      <scheme val="major"/>
    </font>
    <font>
      <sz val="14"/>
      <color theme="1"/>
      <name val="Times New Roman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D32F2F"/>
      </patternFill>
    </fill>
    <fill>
      <patternFill patternType="solid">
        <fgColor rgb="FFFFF3C4"/>
      </patternFill>
    </fill>
    <fill>
      <patternFill patternType="solid">
        <fgColor rgb="FFFFC107"/>
      </patternFill>
    </fill>
    <fill>
      <patternFill patternType="solid">
        <fgColor rgb="FF00897B"/>
      </patternFill>
    </fill>
    <fill>
      <patternFill patternType="solid">
        <fgColor rgb="FF1E88E5"/>
      </patternFill>
    </fill>
    <fill>
      <patternFill patternType="solid">
        <fgColor rgb="FF43A047"/>
      </patternFill>
    </fill>
    <fill>
      <patternFill patternType="solid">
        <fgColor rgb="FF8E24AA"/>
      </patternFill>
    </fill>
    <fill>
      <patternFill patternType="solid">
        <fgColor rgb="FFFFE08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54BD42-FCA1-4850-8603-48E82ED9821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49d6aee-e383-4db1-82fc-a8e955f5369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rightToLeft="1" topLeftCell="A15" workbookViewId="0">
      <selection activeCell="D8" sqref="D8"/>
    </sheetView>
  </sheetViews>
  <sheetFormatPr defaultRowHeight="14.25" x14ac:dyDescent="0.2"/>
  <cols>
    <col min="1" max="1" width="24" customWidth="1"/>
    <col min="2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12" customWidth="1"/>
    <col min="8" max="9" width="16" customWidth="1"/>
    <col min="10" max="11" width="18" customWidth="1"/>
  </cols>
  <sheetData>
    <row r="1" spans="1:11" ht="30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thickBot="1" x14ac:dyDescent="0.25"/>
    <row r="3" spans="1:11" ht="36" customHeight="1" thickTop="1" thickBo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</row>
    <row r="4" spans="1:11" ht="18" thickTop="1" thickBot="1" x14ac:dyDescent="0.25">
      <c r="A4" s="20" t="s">
        <v>12</v>
      </c>
      <c r="B4" s="36" t="s">
        <v>13</v>
      </c>
      <c r="C4" s="20" t="s">
        <v>14</v>
      </c>
      <c r="D4" s="20" t="s">
        <v>15</v>
      </c>
      <c r="E4" s="20">
        <v>5</v>
      </c>
      <c r="F4" s="20">
        <v>6</v>
      </c>
      <c r="G4" s="20">
        <v>19</v>
      </c>
      <c r="H4" s="20">
        <f t="shared" ref="H4:H9" si="0">G4*F4</f>
        <v>114</v>
      </c>
      <c r="I4" s="20">
        <f t="shared" ref="I4:I9" si="1">H4*E4</f>
        <v>570</v>
      </c>
      <c r="J4" s="22">
        <v>175</v>
      </c>
      <c r="K4" s="37" t="s">
        <v>16</v>
      </c>
    </row>
    <row r="5" spans="1:11" ht="18" thickTop="1" thickBot="1" x14ac:dyDescent="0.25">
      <c r="A5" s="20" t="s">
        <v>12</v>
      </c>
      <c r="B5" s="36" t="s">
        <v>17</v>
      </c>
      <c r="C5" s="20" t="s">
        <v>14</v>
      </c>
      <c r="D5" s="20" t="s">
        <v>15</v>
      </c>
      <c r="E5" s="20">
        <v>5</v>
      </c>
      <c r="F5" s="20">
        <v>6</v>
      </c>
      <c r="G5" s="20">
        <v>19</v>
      </c>
      <c r="H5" s="20">
        <f t="shared" si="0"/>
        <v>114</v>
      </c>
      <c r="I5" s="20">
        <f t="shared" si="1"/>
        <v>570</v>
      </c>
      <c r="J5" s="22">
        <v>175</v>
      </c>
      <c r="K5" s="38" t="s">
        <v>18</v>
      </c>
    </row>
    <row r="6" spans="1:11" ht="18" thickTop="1" thickBot="1" x14ac:dyDescent="0.25">
      <c r="A6" s="20" t="s">
        <v>19</v>
      </c>
      <c r="B6" s="36" t="s">
        <v>20</v>
      </c>
      <c r="C6" s="20" t="s">
        <v>14</v>
      </c>
      <c r="D6" s="20" t="s">
        <v>15</v>
      </c>
      <c r="E6" s="20">
        <v>5</v>
      </c>
      <c r="F6" s="20">
        <v>5</v>
      </c>
      <c r="G6" s="20">
        <v>15</v>
      </c>
      <c r="H6" s="20">
        <f t="shared" si="0"/>
        <v>75</v>
      </c>
      <c r="I6" s="20">
        <f t="shared" si="1"/>
        <v>375</v>
      </c>
      <c r="J6" s="22">
        <v>175</v>
      </c>
      <c r="K6" s="39" t="s">
        <v>21</v>
      </c>
    </row>
    <row r="7" spans="1:11" ht="18" thickTop="1" thickBot="1" x14ac:dyDescent="0.25">
      <c r="A7" s="20" t="s">
        <v>19</v>
      </c>
      <c r="B7" s="36" t="s">
        <v>22</v>
      </c>
      <c r="C7" s="20" t="s">
        <v>23</v>
      </c>
      <c r="D7" s="20" t="s">
        <v>627</v>
      </c>
      <c r="E7" s="20">
        <v>4</v>
      </c>
      <c r="F7" s="20">
        <v>5</v>
      </c>
      <c r="G7" s="20">
        <v>15</v>
      </c>
      <c r="H7" s="20">
        <f t="shared" si="0"/>
        <v>75</v>
      </c>
      <c r="I7" s="20">
        <f t="shared" si="1"/>
        <v>300</v>
      </c>
      <c r="J7" s="22">
        <v>246</v>
      </c>
      <c r="K7" s="40" t="s">
        <v>24</v>
      </c>
    </row>
    <row r="8" spans="1:11" ht="18" thickTop="1" thickBot="1" x14ac:dyDescent="0.25">
      <c r="A8" s="20" t="s">
        <v>25</v>
      </c>
      <c r="B8" s="36" t="s">
        <v>26</v>
      </c>
      <c r="C8" s="20" t="s">
        <v>23</v>
      </c>
      <c r="D8" s="20" t="s">
        <v>627</v>
      </c>
      <c r="E8" s="20">
        <v>5</v>
      </c>
      <c r="F8" s="20">
        <v>5</v>
      </c>
      <c r="G8" s="20">
        <v>20</v>
      </c>
      <c r="H8" s="20">
        <f t="shared" si="0"/>
        <v>100</v>
      </c>
      <c r="I8" s="20">
        <f t="shared" si="1"/>
        <v>500</v>
      </c>
      <c r="J8" s="22">
        <v>195</v>
      </c>
      <c r="K8" s="41" t="s">
        <v>27</v>
      </c>
    </row>
    <row r="9" spans="1:11" ht="18" thickTop="1" thickBot="1" x14ac:dyDescent="0.25">
      <c r="A9" s="20" t="s">
        <v>25</v>
      </c>
      <c r="B9" s="36" t="s">
        <v>28</v>
      </c>
      <c r="C9" s="20" t="s">
        <v>23</v>
      </c>
      <c r="D9" s="20" t="s">
        <v>627</v>
      </c>
      <c r="E9" s="20">
        <v>5</v>
      </c>
      <c r="F9" s="20">
        <v>6</v>
      </c>
      <c r="G9" s="20">
        <v>19</v>
      </c>
      <c r="H9" s="20">
        <f t="shared" si="0"/>
        <v>114</v>
      </c>
      <c r="I9" s="20">
        <f t="shared" si="1"/>
        <v>570</v>
      </c>
      <c r="J9" s="22">
        <v>175</v>
      </c>
      <c r="K9" s="42" t="s">
        <v>29</v>
      </c>
    </row>
    <row r="10" spans="1:11" ht="15.75" thickTop="1" thickBot="1" x14ac:dyDescent="0.25">
      <c r="A10" s="43" t="s">
        <v>30</v>
      </c>
      <c r="B10" s="43"/>
      <c r="C10" s="43"/>
      <c r="D10" s="43"/>
      <c r="E10" s="43"/>
      <c r="F10" s="43"/>
      <c r="G10" s="43">
        <f>SUM(G4:G9)</f>
        <v>107</v>
      </c>
      <c r="H10" s="43">
        <f>SUM(H4:H9)</f>
        <v>592</v>
      </c>
      <c r="I10" s="43">
        <f>SUM(I4:I9)</f>
        <v>2885</v>
      </c>
      <c r="J10" s="43"/>
      <c r="K10" s="43"/>
    </row>
    <row r="11" spans="1:11" ht="15" thickTop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16.5" thickBot="1" x14ac:dyDescent="0.3">
      <c r="A12" s="9" t="s">
        <v>31</v>
      </c>
      <c r="B12" s="9"/>
      <c r="C12" s="9"/>
      <c r="D12" s="9"/>
      <c r="E12" s="9"/>
      <c r="F12" s="9"/>
      <c r="G12" s="9"/>
      <c r="H12" s="9"/>
      <c r="I12" s="6"/>
      <c r="J12" s="6"/>
      <c r="K12" s="6"/>
    </row>
    <row r="13" spans="1:11" ht="36" customHeight="1" thickTop="1" thickBot="1" x14ac:dyDescent="0.25">
      <c r="A13" s="18" t="s">
        <v>1</v>
      </c>
      <c r="B13" s="18" t="s">
        <v>32</v>
      </c>
      <c r="C13" s="18" t="s">
        <v>7</v>
      </c>
      <c r="D13" s="18" t="s">
        <v>33</v>
      </c>
      <c r="E13" s="18" t="s">
        <v>9</v>
      </c>
      <c r="F13" s="6"/>
      <c r="G13" s="6"/>
      <c r="H13" s="6"/>
      <c r="I13" s="6"/>
      <c r="J13" s="6"/>
      <c r="K13" s="6"/>
    </row>
    <row r="14" spans="1:11" ht="15.75" thickTop="1" thickBot="1" x14ac:dyDescent="0.25">
      <c r="A14" s="20" t="s">
        <v>12</v>
      </c>
      <c r="B14" s="20" t="s">
        <v>34</v>
      </c>
      <c r="C14" s="20">
        <f>SUMIF($A$4:$A$9,A14,$G$4:$G$9)</f>
        <v>38</v>
      </c>
      <c r="D14" s="20">
        <f>SUMIF($A$4:$A$9,A14,$H$4:$H$9)</f>
        <v>228</v>
      </c>
      <c r="E14" s="20">
        <f>SUMIF($A$4:$A$9,A14,$I$4:$I$9)</f>
        <v>1140</v>
      </c>
      <c r="F14" s="6"/>
      <c r="G14" s="6"/>
      <c r="H14" s="6"/>
      <c r="I14" s="6"/>
      <c r="J14" s="6"/>
      <c r="K14" s="6"/>
    </row>
    <row r="15" spans="1:11" ht="15.75" thickTop="1" thickBot="1" x14ac:dyDescent="0.25">
      <c r="A15" s="20" t="s">
        <v>19</v>
      </c>
      <c r="B15" s="20" t="s">
        <v>35</v>
      </c>
      <c r="C15" s="20">
        <f>SUMIF($A$4:$A$9,A15,$G$4:$G$9)</f>
        <v>30</v>
      </c>
      <c r="D15" s="20">
        <f>SUMIF($A$4:$A$9,A15,$H$4:$H$9)</f>
        <v>150</v>
      </c>
      <c r="E15" s="20">
        <f>SUMIF($A$4:$A$9,A15,$I$4:$I$9)</f>
        <v>675</v>
      </c>
      <c r="F15" s="6"/>
      <c r="G15" s="6"/>
      <c r="H15" s="6"/>
      <c r="I15" s="6"/>
      <c r="J15" s="6"/>
      <c r="K15" s="6"/>
    </row>
    <row r="16" spans="1:11" ht="15.75" thickTop="1" thickBot="1" x14ac:dyDescent="0.25">
      <c r="A16" s="20" t="s">
        <v>25</v>
      </c>
      <c r="B16" s="20" t="s">
        <v>36</v>
      </c>
      <c r="C16" s="20">
        <f>SUMIF($A$4:$A$9,A16,$G$4:$G$9)</f>
        <v>39</v>
      </c>
      <c r="D16" s="20">
        <f>SUMIF($A$4:$A$9,A16,$H$4:$H$9)</f>
        <v>214</v>
      </c>
      <c r="E16" s="20">
        <f>SUMIF($A$4:$A$9,A16,$I$4:$I$9)</f>
        <v>1070</v>
      </c>
      <c r="F16" s="6"/>
      <c r="G16" s="6"/>
      <c r="H16" s="6"/>
      <c r="I16" s="6"/>
      <c r="J16" s="6"/>
      <c r="K16" s="6"/>
    </row>
    <row r="17" spans="1:11" ht="15.75" thickTop="1" thickBot="1" x14ac:dyDescent="0.25">
      <c r="A17" s="43" t="s">
        <v>30</v>
      </c>
      <c r="B17" s="43"/>
      <c r="C17" s="43">
        <f>SUM(C14:C16)</f>
        <v>107</v>
      </c>
      <c r="D17" s="43">
        <f>SUM(D14:D16)</f>
        <v>592</v>
      </c>
      <c r="E17" s="43">
        <f>SUM(E14:E16)</f>
        <v>2885</v>
      </c>
      <c r="F17" s="6"/>
      <c r="G17" s="6"/>
      <c r="H17" s="6"/>
      <c r="I17" s="6"/>
      <c r="J17" s="6"/>
      <c r="K17" s="6"/>
    </row>
    <row r="18" spans="1:11" ht="15" thickTop="1" x14ac:dyDescent="0.2">
      <c r="A18" s="8"/>
      <c r="B18" s="8"/>
      <c r="C18" s="8"/>
      <c r="D18" s="8"/>
      <c r="E18" s="8"/>
      <c r="F18" s="6"/>
      <c r="G18" s="6"/>
      <c r="H18" s="6"/>
      <c r="I18" s="6"/>
      <c r="J18" s="6"/>
      <c r="K18" s="6"/>
    </row>
    <row r="19" spans="1:11" ht="16.5" thickBot="1" x14ac:dyDescent="0.3">
      <c r="A19" s="44" t="s">
        <v>37</v>
      </c>
      <c r="B19" s="44"/>
      <c r="C19" s="44"/>
      <c r="D19" s="44"/>
      <c r="E19" s="44"/>
      <c r="F19" s="6"/>
      <c r="G19" s="6"/>
      <c r="H19" s="6"/>
      <c r="I19" s="6"/>
      <c r="J19" s="6"/>
      <c r="K19" s="6"/>
    </row>
    <row r="20" spans="1:11" ht="36" customHeight="1" thickTop="1" thickBot="1" x14ac:dyDescent="0.25">
      <c r="A20" s="18" t="s">
        <v>38</v>
      </c>
      <c r="B20" s="18" t="s">
        <v>39</v>
      </c>
      <c r="C20" s="18"/>
      <c r="D20" s="18"/>
      <c r="E20" s="18" t="s">
        <v>9</v>
      </c>
      <c r="F20" s="6"/>
      <c r="G20" s="6"/>
      <c r="H20" s="6"/>
      <c r="I20" s="6"/>
      <c r="J20" s="6"/>
      <c r="K20" s="6"/>
    </row>
    <row r="21" spans="1:11" ht="15.75" thickTop="1" thickBot="1" x14ac:dyDescent="0.25">
      <c r="A21" s="20" t="s">
        <v>40</v>
      </c>
      <c r="B21" s="20" t="str">
        <f>IF(1&lt;=4,"A B C D E F","A B C E F (D = 4 levels)")</f>
        <v>A B C D E F</v>
      </c>
      <c r="C21" s="20"/>
      <c r="D21" s="20"/>
      <c r="E21" s="20">
        <f>SUMIF($E$4:$E$9,"&gt;="&amp;1,$H$4:$H$9)</f>
        <v>592</v>
      </c>
      <c r="F21" s="6"/>
      <c r="G21" s="6"/>
      <c r="H21" s="6"/>
      <c r="I21" s="6"/>
      <c r="J21" s="6"/>
      <c r="K21" s="6"/>
    </row>
    <row r="22" spans="1:11" ht="15.75" thickTop="1" thickBot="1" x14ac:dyDescent="0.25">
      <c r="A22" s="20" t="s">
        <v>41</v>
      </c>
      <c r="B22" s="20" t="str">
        <f>IF(2&lt;=4,"A B C D E F","A B C E F (D = 4 levels)")</f>
        <v>A B C D E F</v>
      </c>
      <c r="C22" s="20"/>
      <c r="D22" s="20"/>
      <c r="E22" s="20">
        <f>SUMIF($E$4:$E$9,"&gt;="&amp;2,$H$4:$H$9)</f>
        <v>592</v>
      </c>
      <c r="F22" s="6"/>
      <c r="G22" s="6"/>
      <c r="H22" s="6"/>
      <c r="I22" s="6"/>
      <c r="J22" s="6"/>
      <c r="K22" s="6"/>
    </row>
    <row r="23" spans="1:11" ht="15.75" thickTop="1" thickBot="1" x14ac:dyDescent="0.25">
      <c r="A23" s="20" t="s">
        <v>42</v>
      </c>
      <c r="B23" s="20" t="str">
        <f>IF(3&lt;=4,"A B C D E F","A B C E F (D = 4 levels)")</f>
        <v>A B C D E F</v>
      </c>
      <c r="C23" s="20"/>
      <c r="D23" s="20"/>
      <c r="E23" s="20">
        <f>SUMIF($E$4:$E$9,"&gt;="&amp;3,$H$4:$H$9)</f>
        <v>592</v>
      </c>
      <c r="F23" s="6"/>
      <c r="G23" s="6"/>
      <c r="H23" s="6"/>
      <c r="I23" s="6"/>
      <c r="J23" s="6"/>
      <c r="K23" s="6"/>
    </row>
    <row r="24" spans="1:11" ht="15.75" thickTop="1" thickBot="1" x14ac:dyDescent="0.25">
      <c r="A24" s="20" t="s">
        <v>43</v>
      </c>
      <c r="B24" s="20" t="str">
        <f>IF(4&lt;=4,"A B C D E F","A B C E F (D = 4 levels)")</f>
        <v>A B C D E F</v>
      </c>
      <c r="C24" s="20"/>
      <c r="D24" s="20"/>
      <c r="E24" s="20">
        <f>SUMIF($E$4:$E$9,"&gt;="&amp;4,$H$4:$H$9)</f>
        <v>592</v>
      </c>
      <c r="F24" s="6"/>
      <c r="G24" s="6"/>
      <c r="H24" s="6"/>
      <c r="I24" s="6"/>
      <c r="J24" s="6"/>
      <c r="K24" s="6"/>
    </row>
    <row r="25" spans="1:11" ht="30" thickTop="1" thickBot="1" x14ac:dyDescent="0.25">
      <c r="A25" s="20" t="s">
        <v>44</v>
      </c>
      <c r="B25" s="20" t="str">
        <f>IF(5&lt;=4,"A B C D E F","A B C E F (D = 4 levels)")</f>
        <v>A B C E F (D = 4 levels)</v>
      </c>
      <c r="C25" s="20"/>
      <c r="D25" s="20"/>
      <c r="E25" s="20">
        <f>SUMIF($E$4:$E$9,"&gt;="&amp;5,$H$4:$H$9)</f>
        <v>517</v>
      </c>
      <c r="F25" s="6"/>
      <c r="G25" s="6"/>
      <c r="H25" s="6"/>
      <c r="I25" s="6"/>
      <c r="J25" s="6"/>
      <c r="K25" s="6"/>
    </row>
    <row r="26" spans="1:11" ht="15.75" thickTop="1" thickBot="1" x14ac:dyDescent="0.25">
      <c r="A26" s="43" t="s">
        <v>30</v>
      </c>
      <c r="B26" s="43"/>
      <c r="C26" s="43"/>
      <c r="D26" s="43"/>
      <c r="E26" s="43">
        <f>SUM(E21:E25)</f>
        <v>2885</v>
      </c>
      <c r="F26" s="6"/>
      <c r="G26" s="6"/>
      <c r="H26" s="6"/>
      <c r="I26" s="6"/>
      <c r="J26" s="6"/>
      <c r="K26" s="6"/>
    </row>
    <row r="27" spans="1:11" ht="15" thickTop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7.25" thickBot="1" x14ac:dyDescent="0.25">
      <c r="A28" s="45" t="s">
        <v>45</v>
      </c>
      <c r="B28" s="45"/>
      <c r="C28" s="45"/>
      <c r="D28" s="45"/>
      <c r="E28" s="45"/>
      <c r="F28" s="6"/>
      <c r="G28" s="6"/>
      <c r="H28" s="6"/>
      <c r="I28" s="6"/>
      <c r="J28" s="6"/>
      <c r="K28" s="6"/>
    </row>
    <row r="29" spans="1:11" ht="33.950000000000003" customHeight="1" thickTop="1" thickBot="1" x14ac:dyDescent="0.25">
      <c r="A29" s="43" t="s">
        <v>46</v>
      </c>
      <c r="B29" s="43"/>
      <c r="C29" s="43"/>
      <c r="D29" s="43"/>
      <c r="E29" s="43">
        <f>I10</f>
        <v>2885</v>
      </c>
      <c r="F29" s="6"/>
      <c r="G29" s="6"/>
      <c r="H29" s="6"/>
      <c r="I29" s="6"/>
      <c r="J29" s="6"/>
      <c r="K29" s="6"/>
    </row>
    <row r="30" spans="1:11" ht="30" thickTop="1" thickBot="1" x14ac:dyDescent="0.25">
      <c r="A30" s="20" t="s">
        <v>47</v>
      </c>
      <c r="B30" s="20"/>
      <c r="C30" s="20"/>
      <c r="D30" s="20"/>
      <c r="E30" s="20" t="str">
        <f>IF(E26=E17,"OK ✔","ERROR")</f>
        <v>OK ✔</v>
      </c>
      <c r="F30" s="6"/>
      <c r="G30" s="6"/>
      <c r="H30" s="6"/>
      <c r="I30" s="6"/>
      <c r="J30" s="6"/>
      <c r="K30" s="6"/>
    </row>
    <row r="31" spans="1:11" ht="15" thickTop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6.5" thickBot="1" x14ac:dyDescent="0.3">
      <c r="A32" s="44" t="s">
        <v>48</v>
      </c>
      <c r="B32" s="44"/>
      <c r="C32" s="44"/>
      <c r="D32" s="44"/>
      <c r="E32" s="44"/>
      <c r="F32" s="6"/>
      <c r="G32" s="6"/>
      <c r="H32" s="6"/>
      <c r="I32" s="6"/>
      <c r="J32" s="6"/>
      <c r="K32" s="6"/>
    </row>
    <row r="33" spans="1:11" ht="36" customHeight="1" thickTop="1" thickBot="1" x14ac:dyDescent="0.25">
      <c r="A33" s="18" t="s">
        <v>49</v>
      </c>
      <c r="B33" s="18"/>
      <c r="C33" s="18" t="s">
        <v>7</v>
      </c>
      <c r="D33" s="18"/>
      <c r="E33" s="18" t="s">
        <v>9</v>
      </c>
      <c r="F33" s="6"/>
      <c r="G33" s="6"/>
      <c r="H33" s="6"/>
      <c r="I33" s="6"/>
      <c r="J33" s="6"/>
      <c r="K33" s="6"/>
    </row>
    <row r="34" spans="1:11" ht="15.75" thickTop="1" thickBot="1" x14ac:dyDescent="0.25">
      <c r="A34" s="20">
        <v>246</v>
      </c>
      <c r="B34" s="20"/>
      <c r="C34" s="20">
        <f>SUMIF($J$4:$J$9,A34,$G$4:$G$9)</f>
        <v>15</v>
      </c>
      <c r="D34" s="20"/>
      <c r="E34" s="20">
        <f>SUMIF($J$4:$J$9,A34,$I$4:$I$9)</f>
        <v>300</v>
      </c>
      <c r="F34" s="6"/>
      <c r="G34" s="6"/>
      <c r="H34" s="6"/>
      <c r="I34" s="6"/>
      <c r="J34" s="6"/>
      <c r="K34" s="6"/>
    </row>
    <row r="35" spans="1:11" ht="15.75" thickTop="1" thickBot="1" x14ac:dyDescent="0.25">
      <c r="A35" s="20">
        <v>195</v>
      </c>
      <c r="B35" s="20"/>
      <c r="C35" s="20">
        <f>SUMIF($J$4:$J$9,A35,$G$4:$G$9)</f>
        <v>20</v>
      </c>
      <c r="D35" s="20"/>
      <c r="E35" s="20">
        <f>SUMIF($J$4:$J$9,A35,$I$4:$I$9)</f>
        <v>500</v>
      </c>
      <c r="F35" s="6"/>
      <c r="G35" s="6"/>
      <c r="H35" s="6"/>
      <c r="I35" s="6"/>
      <c r="J35" s="6"/>
      <c r="K35" s="6"/>
    </row>
    <row r="36" spans="1:11" ht="15.75" thickTop="1" thickBot="1" x14ac:dyDescent="0.25">
      <c r="A36" s="20">
        <v>175</v>
      </c>
      <c r="B36" s="20"/>
      <c r="C36" s="20">
        <f>SUMIF($J$4:$J$9,A36,$G$4:$G$9)</f>
        <v>72</v>
      </c>
      <c r="D36" s="20"/>
      <c r="E36" s="20">
        <f>SUMIF($J$4:$J$9,A36,$I$4:$I$9)</f>
        <v>2085</v>
      </c>
      <c r="F36" s="6"/>
      <c r="G36" s="6"/>
      <c r="H36" s="6"/>
      <c r="I36" s="6"/>
      <c r="J36" s="6"/>
      <c r="K36" s="6"/>
    </row>
    <row r="37" spans="1:11" ht="15.75" thickTop="1" thickBot="1" x14ac:dyDescent="0.25">
      <c r="A37" s="20" t="s">
        <v>50</v>
      </c>
      <c r="B37" s="20"/>
      <c r="C37" s="20">
        <f>G10-SUM(C34:C36)</f>
        <v>0</v>
      </c>
      <c r="D37" s="20"/>
      <c r="E37" s="20">
        <f>I10-SUM(E34:E36)</f>
        <v>0</v>
      </c>
      <c r="F37" s="6"/>
      <c r="G37" s="6"/>
      <c r="H37" s="6"/>
      <c r="I37" s="6"/>
      <c r="J37" s="6"/>
      <c r="K37" s="6"/>
    </row>
    <row r="38" spans="1:11" ht="15.75" thickTop="1" thickBot="1" x14ac:dyDescent="0.25">
      <c r="A38" s="43" t="s">
        <v>30</v>
      </c>
      <c r="B38" s="43"/>
      <c r="C38" s="43">
        <f>SUM(C34:C37)</f>
        <v>107</v>
      </c>
      <c r="D38" s="43"/>
      <c r="E38" s="43">
        <f>SUM(E34:E37)</f>
        <v>2885</v>
      </c>
      <c r="F38" s="6"/>
      <c r="G38" s="6"/>
      <c r="H38" s="6"/>
      <c r="I38" s="6"/>
      <c r="J38" s="6"/>
      <c r="K38" s="6"/>
    </row>
    <row r="39" spans="1:11" ht="15" thickTop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">
      <c r="A40" s="7" t="s">
        <v>616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</sheetData>
  <mergeCells count="6">
    <mergeCell ref="A40:K42"/>
    <mergeCell ref="A1:K1"/>
    <mergeCell ref="A12:H12"/>
    <mergeCell ref="A19:E19"/>
    <mergeCell ref="A28:E28"/>
    <mergeCell ref="A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7"/>
  <sheetViews>
    <sheetView rightToLeft="1" workbookViewId="0">
      <pane ySplit="4" topLeftCell="A17" activePane="bottomLeft" state="frozen"/>
      <selection pane="bottomLeft" activeCell="G9" sqref="G9"/>
    </sheetView>
  </sheetViews>
  <sheetFormatPr defaultRowHeight="14.25" x14ac:dyDescent="0.2"/>
  <cols>
    <col min="1" max="1" width="7" customWidth="1"/>
    <col min="2" max="2" width="14" customWidth="1"/>
    <col min="3" max="4" width="10" customWidth="1"/>
    <col min="5" max="5" width="22" customWidth="1"/>
    <col min="6" max="6" width="12" customWidth="1"/>
    <col min="7" max="7" width="22" customWidth="1"/>
    <col min="8" max="8" width="14" customWidth="1"/>
    <col min="9" max="9" width="16" customWidth="1"/>
  </cols>
  <sheetData>
    <row r="1" spans="1:9" ht="30" customHeight="1" x14ac:dyDescent="0.25">
      <c r="A1" s="34" t="s">
        <v>51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2">
      <c r="A2" s="35" t="s">
        <v>52</v>
      </c>
      <c r="B2" s="35"/>
      <c r="C2" s="35"/>
      <c r="D2" s="35"/>
      <c r="E2" s="35"/>
      <c r="F2" s="35"/>
      <c r="G2" s="35"/>
      <c r="H2" s="35"/>
      <c r="I2" s="35"/>
    </row>
    <row r="3" spans="1:9" ht="15" thickBot="1" x14ac:dyDescent="0.25"/>
    <row r="4" spans="1:9" ht="36" customHeight="1" thickTop="1" thickBot="1" x14ac:dyDescent="0.25">
      <c r="A4" s="18" t="s">
        <v>53</v>
      </c>
      <c r="B4" s="18" t="s">
        <v>54</v>
      </c>
      <c r="C4" s="18" t="s">
        <v>2</v>
      </c>
      <c r="D4" s="18" t="s">
        <v>38</v>
      </c>
      <c r="E4" s="18" t="s">
        <v>55</v>
      </c>
      <c r="F4" s="18" t="s">
        <v>56</v>
      </c>
      <c r="G4" s="18" t="s">
        <v>1</v>
      </c>
      <c r="H4" s="18" t="s">
        <v>3</v>
      </c>
      <c r="I4" s="18" t="s">
        <v>57</v>
      </c>
    </row>
    <row r="5" spans="1:9" ht="17.25" thickTop="1" thickBot="1" x14ac:dyDescent="0.25">
      <c r="A5" s="23">
        <v>1</v>
      </c>
      <c r="B5" s="26" t="s">
        <v>58</v>
      </c>
      <c r="C5" s="27" t="s">
        <v>13</v>
      </c>
      <c r="D5" s="23" t="s">
        <v>13</v>
      </c>
      <c r="E5" s="23" t="s">
        <v>59</v>
      </c>
      <c r="F5" s="23">
        <v>1</v>
      </c>
      <c r="G5" s="23" t="s">
        <v>12</v>
      </c>
      <c r="H5" s="23" t="s">
        <v>14</v>
      </c>
      <c r="I5" s="23">
        <f>IFERROR(INDEX('التقسيم Layout'!$J$4:$J$9,MATCH(C5,'التقسيم Layout'!$B$4:$B$9,0)),"")</f>
        <v>175</v>
      </c>
    </row>
    <row r="6" spans="1:9" ht="17.25" thickTop="1" thickBot="1" x14ac:dyDescent="0.25">
      <c r="A6" s="23">
        <v>2</v>
      </c>
      <c r="B6" s="26" t="s">
        <v>60</v>
      </c>
      <c r="C6" s="27" t="s">
        <v>13</v>
      </c>
      <c r="D6" s="23" t="s">
        <v>17</v>
      </c>
      <c r="E6" s="23" t="s">
        <v>61</v>
      </c>
      <c r="F6" s="23">
        <v>1</v>
      </c>
      <c r="G6" s="23" t="s">
        <v>12</v>
      </c>
      <c r="H6" s="23" t="s">
        <v>14</v>
      </c>
      <c r="I6" s="23">
        <f>IFERROR(INDEX('التقسيم Layout'!$J$4:$J$9,MATCH(C6,'التقسيم Layout'!$B$4:$B$9,0)),"")</f>
        <v>175</v>
      </c>
    </row>
    <row r="7" spans="1:9" ht="17.25" thickTop="1" thickBot="1" x14ac:dyDescent="0.25">
      <c r="A7" s="23">
        <v>3</v>
      </c>
      <c r="B7" s="26" t="s">
        <v>62</v>
      </c>
      <c r="C7" s="27" t="s">
        <v>13</v>
      </c>
      <c r="D7" s="23" t="s">
        <v>20</v>
      </c>
      <c r="E7" s="23" t="s">
        <v>63</v>
      </c>
      <c r="F7" s="23">
        <v>1</v>
      </c>
      <c r="G7" s="23" t="s">
        <v>12</v>
      </c>
      <c r="H7" s="23" t="s">
        <v>14</v>
      </c>
      <c r="I7" s="23">
        <f>IFERROR(INDEX('التقسيم Layout'!$J$4:$J$9,MATCH(C7,'التقسيم Layout'!$B$4:$B$9,0)),"")</f>
        <v>175</v>
      </c>
    </row>
    <row r="8" spans="1:9" ht="17.25" thickTop="1" thickBot="1" x14ac:dyDescent="0.25">
      <c r="A8" s="23">
        <v>4</v>
      </c>
      <c r="B8" s="26" t="s">
        <v>64</v>
      </c>
      <c r="C8" s="27" t="s">
        <v>13</v>
      </c>
      <c r="D8" s="23" t="s">
        <v>22</v>
      </c>
      <c r="E8" s="23" t="s">
        <v>65</v>
      </c>
      <c r="F8" s="23">
        <v>1</v>
      </c>
      <c r="G8" s="23" t="s">
        <v>12</v>
      </c>
      <c r="H8" s="23" t="s">
        <v>14</v>
      </c>
      <c r="I8" s="23">
        <f>IFERROR(INDEX('التقسيم Layout'!$J$4:$J$9,MATCH(C8,'التقسيم Layout'!$B$4:$B$9,0)),"")</f>
        <v>175</v>
      </c>
    </row>
    <row r="9" spans="1:9" ht="17.25" thickTop="1" thickBot="1" x14ac:dyDescent="0.25">
      <c r="A9" s="23">
        <v>5</v>
      </c>
      <c r="B9" s="26" t="s">
        <v>66</v>
      </c>
      <c r="C9" s="27" t="s">
        <v>13</v>
      </c>
      <c r="D9" s="23" t="s">
        <v>26</v>
      </c>
      <c r="E9" s="23" t="s">
        <v>67</v>
      </c>
      <c r="F9" s="23">
        <v>1</v>
      </c>
      <c r="G9" s="23" t="s">
        <v>12</v>
      </c>
      <c r="H9" s="23" t="s">
        <v>14</v>
      </c>
      <c r="I9" s="23">
        <f>IFERROR(INDEX('التقسيم Layout'!$J$4:$J$9,MATCH(C9,'التقسيم Layout'!$B$4:$B$9,0)),"")</f>
        <v>175</v>
      </c>
    </row>
    <row r="10" spans="1:9" ht="17.25" thickTop="1" thickBot="1" x14ac:dyDescent="0.25">
      <c r="A10" s="23">
        <v>6</v>
      </c>
      <c r="B10" s="26" t="s">
        <v>68</v>
      </c>
      <c r="C10" s="27" t="s">
        <v>13</v>
      </c>
      <c r="D10" s="23" t="s">
        <v>13</v>
      </c>
      <c r="E10" s="23" t="s">
        <v>59</v>
      </c>
      <c r="F10" s="23">
        <v>2</v>
      </c>
      <c r="G10" s="23" t="s">
        <v>12</v>
      </c>
      <c r="H10" s="23" t="s">
        <v>14</v>
      </c>
      <c r="I10" s="23">
        <f>IFERROR(INDEX('التقسيم Layout'!$J$4:$J$9,MATCH(C10,'التقسيم Layout'!$B$4:$B$9,0)),"")</f>
        <v>175</v>
      </c>
    </row>
    <row r="11" spans="1:9" ht="17.25" thickTop="1" thickBot="1" x14ac:dyDescent="0.25">
      <c r="A11" s="23">
        <v>7</v>
      </c>
      <c r="B11" s="26" t="s">
        <v>69</v>
      </c>
      <c r="C11" s="27" t="s">
        <v>13</v>
      </c>
      <c r="D11" s="23" t="s">
        <v>17</v>
      </c>
      <c r="E11" s="23" t="s">
        <v>61</v>
      </c>
      <c r="F11" s="23">
        <v>2</v>
      </c>
      <c r="G11" s="23" t="s">
        <v>12</v>
      </c>
      <c r="H11" s="23" t="s">
        <v>14</v>
      </c>
      <c r="I11" s="23">
        <f>IFERROR(INDEX('التقسيم Layout'!$J$4:$J$9,MATCH(C11,'التقسيم Layout'!$B$4:$B$9,0)),"")</f>
        <v>175</v>
      </c>
    </row>
    <row r="12" spans="1:9" ht="17.25" thickTop="1" thickBot="1" x14ac:dyDescent="0.25">
      <c r="A12" s="23">
        <v>8</v>
      </c>
      <c r="B12" s="26" t="s">
        <v>70</v>
      </c>
      <c r="C12" s="27" t="s">
        <v>13</v>
      </c>
      <c r="D12" s="23" t="s">
        <v>20</v>
      </c>
      <c r="E12" s="23" t="s">
        <v>63</v>
      </c>
      <c r="F12" s="23">
        <v>2</v>
      </c>
      <c r="G12" s="23" t="s">
        <v>12</v>
      </c>
      <c r="H12" s="23" t="s">
        <v>14</v>
      </c>
      <c r="I12" s="23">
        <f>IFERROR(INDEX('التقسيم Layout'!$J$4:$J$9,MATCH(C12,'التقسيم Layout'!$B$4:$B$9,0)),"")</f>
        <v>175</v>
      </c>
    </row>
    <row r="13" spans="1:9" ht="17.25" thickTop="1" thickBot="1" x14ac:dyDescent="0.25">
      <c r="A13" s="23">
        <v>9</v>
      </c>
      <c r="B13" s="26" t="s">
        <v>71</v>
      </c>
      <c r="C13" s="27" t="s">
        <v>13</v>
      </c>
      <c r="D13" s="23" t="s">
        <v>22</v>
      </c>
      <c r="E13" s="23" t="s">
        <v>65</v>
      </c>
      <c r="F13" s="23">
        <v>2</v>
      </c>
      <c r="G13" s="23" t="s">
        <v>12</v>
      </c>
      <c r="H13" s="23" t="s">
        <v>14</v>
      </c>
      <c r="I13" s="23">
        <f>IFERROR(INDEX('التقسيم Layout'!$J$4:$J$9,MATCH(C13,'التقسيم Layout'!$B$4:$B$9,0)),"")</f>
        <v>175</v>
      </c>
    </row>
    <row r="14" spans="1:9" ht="17.25" thickTop="1" thickBot="1" x14ac:dyDescent="0.25">
      <c r="A14" s="23">
        <v>10</v>
      </c>
      <c r="B14" s="26" t="s">
        <v>72</v>
      </c>
      <c r="C14" s="27" t="s">
        <v>13</v>
      </c>
      <c r="D14" s="23" t="s">
        <v>26</v>
      </c>
      <c r="E14" s="23" t="s">
        <v>67</v>
      </c>
      <c r="F14" s="23">
        <v>2</v>
      </c>
      <c r="G14" s="23" t="s">
        <v>12</v>
      </c>
      <c r="H14" s="23" t="s">
        <v>14</v>
      </c>
      <c r="I14" s="23">
        <f>IFERROR(INDEX('التقسيم Layout'!$J$4:$J$9,MATCH(C14,'التقسيم Layout'!$B$4:$B$9,0)),"")</f>
        <v>175</v>
      </c>
    </row>
    <row r="15" spans="1:9" ht="17.25" thickTop="1" thickBot="1" x14ac:dyDescent="0.25">
      <c r="A15" s="23">
        <v>11</v>
      </c>
      <c r="B15" s="26" t="s">
        <v>73</v>
      </c>
      <c r="C15" s="27" t="s">
        <v>13</v>
      </c>
      <c r="D15" s="23" t="s">
        <v>13</v>
      </c>
      <c r="E15" s="23" t="s">
        <v>59</v>
      </c>
      <c r="F15" s="23">
        <v>3</v>
      </c>
      <c r="G15" s="23" t="s">
        <v>12</v>
      </c>
      <c r="H15" s="23" t="s">
        <v>14</v>
      </c>
      <c r="I15" s="23">
        <f>IFERROR(INDEX('التقسيم Layout'!$J$4:$J$9,MATCH(C15,'التقسيم Layout'!$B$4:$B$9,0)),"")</f>
        <v>175</v>
      </c>
    </row>
    <row r="16" spans="1:9" ht="17.25" thickTop="1" thickBot="1" x14ac:dyDescent="0.25">
      <c r="A16" s="23">
        <v>12</v>
      </c>
      <c r="B16" s="26" t="s">
        <v>74</v>
      </c>
      <c r="C16" s="27" t="s">
        <v>13</v>
      </c>
      <c r="D16" s="23" t="s">
        <v>17</v>
      </c>
      <c r="E16" s="23" t="s">
        <v>61</v>
      </c>
      <c r="F16" s="23">
        <v>3</v>
      </c>
      <c r="G16" s="23" t="s">
        <v>12</v>
      </c>
      <c r="H16" s="23" t="s">
        <v>14</v>
      </c>
      <c r="I16" s="23">
        <f>IFERROR(INDEX('التقسيم Layout'!$J$4:$J$9,MATCH(C16,'التقسيم Layout'!$B$4:$B$9,0)),"")</f>
        <v>175</v>
      </c>
    </row>
    <row r="17" spans="1:9" ht="17.25" thickTop="1" thickBot="1" x14ac:dyDescent="0.25">
      <c r="A17" s="23">
        <v>13</v>
      </c>
      <c r="B17" s="26" t="s">
        <v>75</v>
      </c>
      <c r="C17" s="27" t="s">
        <v>13</v>
      </c>
      <c r="D17" s="23" t="s">
        <v>20</v>
      </c>
      <c r="E17" s="23" t="s">
        <v>63</v>
      </c>
      <c r="F17" s="23">
        <v>3</v>
      </c>
      <c r="G17" s="23" t="s">
        <v>12</v>
      </c>
      <c r="H17" s="23" t="s">
        <v>14</v>
      </c>
      <c r="I17" s="23">
        <f>IFERROR(INDEX('التقسيم Layout'!$J$4:$J$9,MATCH(C17,'التقسيم Layout'!$B$4:$B$9,0)),"")</f>
        <v>175</v>
      </c>
    </row>
    <row r="18" spans="1:9" ht="17.25" thickTop="1" thickBot="1" x14ac:dyDescent="0.25">
      <c r="A18" s="23">
        <v>14</v>
      </c>
      <c r="B18" s="26" t="s">
        <v>76</v>
      </c>
      <c r="C18" s="27" t="s">
        <v>13</v>
      </c>
      <c r="D18" s="23" t="s">
        <v>22</v>
      </c>
      <c r="E18" s="23" t="s">
        <v>65</v>
      </c>
      <c r="F18" s="23">
        <v>3</v>
      </c>
      <c r="G18" s="23" t="s">
        <v>12</v>
      </c>
      <c r="H18" s="23" t="s">
        <v>14</v>
      </c>
      <c r="I18" s="23">
        <f>IFERROR(INDEX('التقسيم Layout'!$J$4:$J$9,MATCH(C18,'التقسيم Layout'!$B$4:$B$9,0)),"")</f>
        <v>175</v>
      </c>
    </row>
    <row r="19" spans="1:9" ht="17.25" thickTop="1" thickBot="1" x14ac:dyDescent="0.25">
      <c r="A19" s="23">
        <v>15</v>
      </c>
      <c r="B19" s="26" t="s">
        <v>77</v>
      </c>
      <c r="C19" s="27" t="s">
        <v>13</v>
      </c>
      <c r="D19" s="23" t="s">
        <v>26</v>
      </c>
      <c r="E19" s="23" t="s">
        <v>67</v>
      </c>
      <c r="F19" s="23">
        <v>3</v>
      </c>
      <c r="G19" s="23" t="s">
        <v>12</v>
      </c>
      <c r="H19" s="23" t="s">
        <v>14</v>
      </c>
      <c r="I19" s="23">
        <f>IFERROR(INDEX('التقسيم Layout'!$J$4:$J$9,MATCH(C19,'التقسيم Layout'!$B$4:$B$9,0)),"")</f>
        <v>175</v>
      </c>
    </row>
    <row r="20" spans="1:9" ht="17.25" thickTop="1" thickBot="1" x14ac:dyDescent="0.25">
      <c r="A20" s="23">
        <v>16</v>
      </c>
      <c r="B20" s="26" t="s">
        <v>78</v>
      </c>
      <c r="C20" s="27" t="s">
        <v>13</v>
      </c>
      <c r="D20" s="23" t="s">
        <v>13</v>
      </c>
      <c r="E20" s="23" t="s">
        <v>59</v>
      </c>
      <c r="F20" s="23">
        <v>4</v>
      </c>
      <c r="G20" s="23" t="s">
        <v>12</v>
      </c>
      <c r="H20" s="23" t="s">
        <v>14</v>
      </c>
      <c r="I20" s="23">
        <f>IFERROR(INDEX('التقسيم Layout'!$J$4:$J$9,MATCH(C20,'التقسيم Layout'!$B$4:$B$9,0)),"")</f>
        <v>175</v>
      </c>
    </row>
    <row r="21" spans="1:9" ht="17.25" thickTop="1" thickBot="1" x14ac:dyDescent="0.25">
      <c r="A21" s="23">
        <v>17</v>
      </c>
      <c r="B21" s="26" t="s">
        <v>79</v>
      </c>
      <c r="C21" s="27" t="s">
        <v>13</v>
      </c>
      <c r="D21" s="23" t="s">
        <v>17</v>
      </c>
      <c r="E21" s="23" t="s">
        <v>61</v>
      </c>
      <c r="F21" s="23">
        <v>4</v>
      </c>
      <c r="G21" s="23" t="s">
        <v>12</v>
      </c>
      <c r="H21" s="23" t="s">
        <v>14</v>
      </c>
      <c r="I21" s="23">
        <f>IFERROR(INDEX('التقسيم Layout'!$J$4:$J$9,MATCH(C21,'التقسيم Layout'!$B$4:$B$9,0)),"")</f>
        <v>175</v>
      </c>
    </row>
    <row r="22" spans="1:9" ht="17.25" thickTop="1" thickBot="1" x14ac:dyDescent="0.25">
      <c r="A22" s="23">
        <v>18</v>
      </c>
      <c r="B22" s="26" t="s">
        <v>80</v>
      </c>
      <c r="C22" s="27" t="s">
        <v>13</v>
      </c>
      <c r="D22" s="23" t="s">
        <v>20</v>
      </c>
      <c r="E22" s="23" t="s">
        <v>63</v>
      </c>
      <c r="F22" s="23">
        <v>4</v>
      </c>
      <c r="G22" s="23" t="s">
        <v>12</v>
      </c>
      <c r="H22" s="23" t="s">
        <v>14</v>
      </c>
      <c r="I22" s="23">
        <f>IFERROR(INDEX('التقسيم Layout'!$J$4:$J$9,MATCH(C22,'التقسيم Layout'!$B$4:$B$9,0)),"")</f>
        <v>175</v>
      </c>
    </row>
    <row r="23" spans="1:9" ht="17.25" thickTop="1" thickBot="1" x14ac:dyDescent="0.25">
      <c r="A23" s="23">
        <v>19</v>
      </c>
      <c r="B23" s="26" t="s">
        <v>81</v>
      </c>
      <c r="C23" s="27" t="s">
        <v>13</v>
      </c>
      <c r="D23" s="23" t="s">
        <v>22</v>
      </c>
      <c r="E23" s="23" t="s">
        <v>65</v>
      </c>
      <c r="F23" s="23">
        <v>4</v>
      </c>
      <c r="G23" s="23" t="s">
        <v>12</v>
      </c>
      <c r="H23" s="23" t="s">
        <v>14</v>
      </c>
      <c r="I23" s="23">
        <f>IFERROR(INDEX('التقسيم Layout'!$J$4:$J$9,MATCH(C23,'التقسيم Layout'!$B$4:$B$9,0)),"")</f>
        <v>175</v>
      </c>
    </row>
    <row r="24" spans="1:9" ht="17.25" thickTop="1" thickBot="1" x14ac:dyDescent="0.25">
      <c r="A24" s="23">
        <v>20</v>
      </c>
      <c r="B24" s="26" t="s">
        <v>82</v>
      </c>
      <c r="C24" s="27" t="s">
        <v>13</v>
      </c>
      <c r="D24" s="23" t="s">
        <v>26</v>
      </c>
      <c r="E24" s="23" t="s">
        <v>67</v>
      </c>
      <c r="F24" s="23">
        <v>4</v>
      </c>
      <c r="G24" s="23" t="s">
        <v>12</v>
      </c>
      <c r="H24" s="23" t="s">
        <v>14</v>
      </c>
      <c r="I24" s="23">
        <f>IFERROR(INDEX('التقسيم Layout'!$J$4:$J$9,MATCH(C24,'التقسيم Layout'!$B$4:$B$9,0)),"")</f>
        <v>175</v>
      </c>
    </row>
    <row r="25" spans="1:9" ht="17.25" thickTop="1" thickBot="1" x14ac:dyDescent="0.25">
      <c r="A25" s="23">
        <v>21</v>
      </c>
      <c r="B25" s="26" t="s">
        <v>83</v>
      </c>
      <c r="C25" s="27" t="s">
        <v>13</v>
      </c>
      <c r="D25" s="23" t="s">
        <v>13</v>
      </c>
      <c r="E25" s="23" t="s">
        <v>59</v>
      </c>
      <c r="F25" s="23">
        <v>5</v>
      </c>
      <c r="G25" s="23" t="s">
        <v>12</v>
      </c>
      <c r="H25" s="23" t="s">
        <v>14</v>
      </c>
      <c r="I25" s="23">
        <f>IFERROR(INDEX('التقسيم Layout'!$J$4:$J$9,MATCH(C25,'التقسيم Layout'!$B$4:$B$9,0)),"")</f>
        <v>175</v>
      </c>
    </row>
    <row r="26" spans="1:9" ht="17.25" thickTop="1" thickBot="1" x14ac:dyDescent="0.25">
      <c r="A26" s="23">
        <v>22</v>
      </c>
      <c r="B26" s="26" t="s">
        <v>84</v>
      </c>
      <c r="C26" s="27" t="s">
        <v>13</v>
      </c>
      <c r="D26" s="23" t="s">
        <v>17</v>
      </c>
      <c r="E26" s="23" t="s">
        <v>61</v>
      </c>
      <c r="F26" s="23">
        <v>5</v>
      </c>
      <c r="G26" s="23" t="s">
        <v>12</v>
      </c>
      <c r="H26" s="23" t="s">
        <v>14</v>
      </c>
      <c r="I26" s="23">
        <f>IFERROR(INDEX('التقسيم Layout'!$J$4:$J$9,MATCH(C26,'التقسيم Layout'!$B$4:$B$9,0)),"")</f>
        <v>175</v>
      </c>
    </row>
    <row r="27" spans="1:9" ht="17.25" thickTop="1" thickBot="1" x14ac:dyDescent="0.25">
      <c r="A27" s="23">
        <v>23</v>
      </c>
      <c r="B27" s="26" t="s">
        <v>85</v>
      </c>
      <c r="C27" s="27" t="s">
        <v>13</v>
      </c>
      <c r="D27" s="23" t="s">
        <v>20</v>
      </c>
      <c r="E27" s="23" t="s">
        <v>63</v>
      </c>
      <c r="F27" s="23">
        <v>5</v>
      </c>
      <c r="G27" s="23" t="s">
        <v>12</v>
      </c>
      <c r="H27" s="23" t="s">
        <v>14</v>
      </c>
      <c r="I27" s="23">
        <f>IFERROR(INDEX('التقسيم Layout'!$J$4:$J$9,MATCH(C27,'التقسيم Layout'!$B$4:$B$9,0)),"")</f>
        <v>175</v>
      </c>
    </row>
    <row r="28" spans="1:9" ht="17.25" thickTop="1" thickBot="1" x14ac:dyDescent="0.25">
      <c r="A28" s="23">
        <v>24</v>
      </c>
      <c r="B28" s="26" t="s">
        <v>86</v>
      </c>
      <c r="C28" s="27" t="s">
        <v>13</v>
      </c>
      <c r="D28" s="23" t="s">
        <v>22</v>
      </c>
      <c r="E28" s="23" t="s">
        <v>65</v>
      </c>
      <c r="F28" s="23">
        <v>5</v>
      </c>
      <c r="G28" s="23" t="s">
        <v>12</v>
      </c>
      <c r="H28" s="23" t="s">
        <v>14</v>
      </c>
      <c r="I28" s="23">
        <f>IFERROR(INDEX('التقسيم Layout'!$J$4:$J$9,MATCH(C28,'التقسيم Layout'!$B$4:$B$9,0)),"")</f>
        <v>175</v>
      </c>
    </row>
    <row r="29" spans="1:9" ht="17.25" thickTop="1" thickBot="1" x14ac:dyDescent="0.25">
      <c r="A29" s="23">
        <v>25</v>
      </c>
      <c r="B29" s="26" t="s">
        <v>87</v>
      </c>
      <c r="C29" s="27" t="s">
        <v>13</v>
      </c>
      <c r="D29" s="23" t="s">
        <v>26</v>
      </c>
      <c r="E29" s="23" t="s">
        <v>67</v>
      </c>
      <c r="F29" s="23">
        <v>5</v>
      </c>
      <c r="G29" s="23" t="s">
        <v>12</v>
      </c>
      <c r="H29" s="23" t="s">
        <v>14</v>
      </c>
      <c r="I29" s="23">
        <f>IFERROR(INDEX('التقسيم Layout'!$J$4:$J$9,MATCH(C29,'التقسيم Layout'!$B$4:$B$9,0)),"")</f>
        <v>175</v>
      </c>
    </row>
    <row r="30" spans="1:9" ht="17.25" thickTop="1" thickBot="1" x14ac:dyDescent="0.25">
      <c r="A30" s="23">
        <v>26</v>
      </c>
      <c r="B30" s="26" t="s">
        <v>88</v>
      </c>
      <c r="C30" s="27" t="s">
        <v>13</v>
      </c>
      <c r="D30" s="23" t="s">
        <v>13</v>
      </c>
      <c r="E30" s="23" t="s">
        <v>59</v>
      </c>
      <c r="F30" s="23">
        <v>6</v>
      </c>
      <c r="G30" s="23" t="s">
        <v>12</v>
      </c>
      <c r="H30" s="23" t="s">
        <v>14</v>
      </c>
      <c r="I30" s="23">
        <f>IFERROR(INDEX('التقسيم Layout'!$J$4:$J$9,MATCH(C30,'التقسيم Layout'!$B$4:$B$9,0)),"")</f>
        <v>175</v>
      </c>
    </row>
    <row r="31" spans="1:9" ht="17.25" thickTop="1" thickBot="1" x14ac:dyDescent="0.25">
      <c r="A31" s="23">
        <v>27</v>
      </c>
      <c r="B31" s="26" t="s">
        <v>89</v>
      </c>
      <c r="C31" s="27" t="s">
        <v>13</v>
      </c>
      <c r="D31" s="23" t="s">
        <v>17</v>
      </c>
      <c r="E31" s="23" t="s">
        <v>61</v>
      </c>
      <c r="F31" s="23">
        <v>6</v>
      </c>
      <c r="G31" s="23" t="s">
        <v>12</v>
      </c>
      <c r="H31" s="23" t="s">
        <v>14</v>
      </c>
      <c r="I31" s="23">
        <f>IFERROR(INDEX('التقسيم Layout'!$J$4:$J$9,MATCH(C31,'التقسيم Layout'!$B$4:$B$9,0)),"")</f>
        <v>175</v>
      </c>
    </row>
    <row r="32" spans="1:9" ht="17.25" thickTop="1" thickBot="1" x14ac:dyDescent="0.25">
      <c r="A32" s="23">
        <v>28</v>
      </c>
      <c r="B32" s="26" t="s">
        <v>90</v>
      </c>
      <c r="C32" s="27" t="s">
        <v>13</v>
      </c>
      <c r="D32" s="23" t="s">
        <v>20</v>
      </c>
      <c r="E32" s="23" t="s">
        <v>63</v>
      </c>
      <c r="F32" s="23">
        <v>6</v>
      </c>
      <c r="G32" s="23" t="s">
        <v>12</v>
      </c>
      <c r="H32" s="23" t="s">
        <v>14</v>
      </c>
      <c r="I32" s="23">
        <f>IFERROR(INDEX('التقسيم Layout'!$J$4:$J$9,MATCH(C32,'التقسيم Layout'!$B$4:$B$9,0)),"")</f>
        <v>175</v>
      </c>
    </row>
    <row r="33" spans="1:9" ht="17.25" thickTop="1" thickBot="1" x14ac:dyDescent="0.25">
      <c r="A33" s="23">
        <v>29</v>
      </c>
      <c r="B33" s="26" t="s">
        <v>91</v>
      </c>
      <c r="C33" s="27" t="s">
        <v>13</v>
      </c>
      <c r="D33" s="23" t="s">
        <v>22</v>
      </c>
      <c r="E33" s="23" t="s">
        <v>65</v>
      </c>
      <c r="F33" s="23">
        <v>6</v>
      </c>
      <c r="G33" s="23" t="s">
        <v>12</v>
      </c>
      <c r="H33" s="23" t="s">
        <v>14</v>
      </c>
      <c r="I33" s="23">
        <f>IFERROR(INDEX('التقسيم Layout'!$J$4:$J$9,MATCH(C33,'التقسيم Layout'!$B$4:$B$9,0)),"")</f>
        <v>175</v>
      </c>
    </row>
    <row r="34" spans="1:9" ht="17.25" thickTop="1" thickBot="1" x14ac:dyDescent="0.25">
      <c r="A34" s="23">
        <v>30</v>
      </c>
      <c r="B34" s="26" t="s">
        <v>92</v>
      </c>
      <c r="C34" s="27" t="s">
        <v>13</v>
      </c>
      <c r="D34" s="23" t="s">
        <v>26</v>
      </c>
      <c r="E34" s="23" t="s">
        <v>67</v>
      </c>
      <c r="F34" s="23">
        <v>6</v>
      </c>
      <c r="G34" s="23" t="s">
        <v>12</v>
      </c>
      <c r="H34" s="23" t="s">
        <v>14</v>
      </c>
      <c r="I34" s="23">
        <f>IFERROR(INDEX('التقسيم Layout'!$J$4:$J$9,MATCH(C34,'التقسيم Layout'!$B$4:$B$9,0)),"")</f>
        <v>175</v>
      </c>
    </row>
    <row r="35" spans="1:9" ht="17.25" thickTop="1" thickBot="1" x14ac:dyDescent="0.25">
      <c r="A35" s="23">
        <v>31</v>
      </c>
      <c r="B35" s="26" t="s">
        <v>93</v>
      </c>
      <c r="C35" s="27" t="s">
        <v>13</v>
      </c>
      <c r="D35" s="23" t="s">
        <v>13</v>
      </c>
      <c r="E35" s="23" t="s">
        <v>59</v>
      </c>
      <c r="F35" s="23">
        <v>7</v>
      </c>
      <c r="G35" s="23" t="s">
        <v>12</v>
      </c>
      <c r="H35" s="23" t="s">
        <v>14</v>
      </c>
      <c r="I35" s="23">
        <f>IFERROR(INDEX('التقسيم Layout'!$J$4:$J$9,MATCH(C35,'التقسيم Layout'!$B$4:$B$9,0)),"")</f>
        <v>175</v>
      </c>
    </row>
    <row r="36" spans="1:9" ht="17.25" thickTop="1" thickBot="1" x14ac:dyDescent="0.25">
      <c r="A36" s="23">
        <v>32</v>
      </c>
      <c r="B36" s="26" t="s">
        <v>94</v>
      </c>
      <c r="C36" s="27" t="s">
        <v>13</v>
      </c>
      <c r="D36" s="23" t="s">
        <v>17</v>
      </c>
      <c r="E36" s="23" t="s">
        <v>61</v>
      </c>
      <c r="F36" s="23">
        <v>7</v>
      </c>
      <c r="G36" s="23" t="s">
        <v>12</v>
      </c>
      <c r="H36" s="23" t="s">
        <v>14</v>
      </c>
      <c r="I36" s="23">
        <f>IFERROR(INDEX('التقسيم Layout'!$J$4:$J$9,MATCH(C36,'التقسيم Layout'!$B$4:$B$9,0)),"")</f>
        <v>175</v>
      </c>
    </row>
    <row r="37" spans="1:9" ht="17.25" thickTop="1" thickBot="1" x14ac:dyDescent="0.25">
      <c r="A37" s="23">
        <v>33</v>
      </c>
      <c r="B37" s="26" t="s">
        <v>95</v>
      </c>
      <c r="C37" s="27" t="s">
        <v>13</v>
      </c>
      <c r="D37" s="23" t="s">
        <v>20</v>
      </c>
      <c r="E37" s="23" t="s">
        <v>63</v>
      </c>
      <c r="F37" s="23">
        <v>7</v>
      </c>
      <c r="G37" s="23" t="s">
        <v>12</v>
      </c>
      <c r="H37" s="23" t="s">
        <v>14</v>
      </c>
      <c r="I37" s="23">
        <f>IFERROR(INDEX('التقسيم Layout'!$J$4:$J$9,MATCH(C37,'التقسيم Layout'!$B$4:$B$9,0)),"")</f>
        <v>175</v>
      </c>
    </row>
    <row r="38" spans="1:9" ht="17.25" thickTop="1" thickBot="1" x14ac:dyDescent="0.25">
      <c r="A38" s="23">
        <v>34</v>
      </c>
      <c r="B38" s="26" t="s">
        <v>96</v>
      </c>
      <c r="C38" s="27" t="s">
        <v>13</v>
      </c>
      <c r="D38" s="23" t="s">
        <v>22</v>
      </c>
      <c r="E38" s="23" t="s">
        <v>65</v>
      </c>
      <c r="F38" s="23">
        <v>7</v>
      </c>
      <c r="G38" s="23" t="s">
        <v>12</v>
      </c>
      <c r="H38" s="23" t="s">
        <v>14</v>
      </c>
      <c r="I38" s="23">
        <f>IFERROR(INDEX('التقسيم Layout'!$J$4:$J$9,MATCH(C38,'التقسيم Layout'!$B$4:$B$9,0)),"")</f>
        <v>175</v>
      </c>
    </row>
    <row r="39" spans="1:9" ht="17.25" thickTop="1" thickBot="1" x14ac:dyDescent="0.25">
      <c r="A39" s="23">
        <v>35</v>
      </c>
      <c r="B39" s="26" t="s">
        <v>97</v>
      </c>
      <c r="C39" s="27" t="s">
        <v>13</v>
      </c>
      <c r="D39" s="23" t="s">
        <v>26</v>
      </c>
      <c r="E39" s="23" t="s">
        <v>67</v>
      </c>
      <c r="F39" s="23">
        <v>7</v>
      </c>
      <c r="G39" s="23" t="s">
        <v>12</v>
      </c>
      <c r="H39" s="23" t="s">
        <v>14</v>
      </c>
      <c r="I39" s="23">
        <f>IFERROR(INDEX('التقسيم Layout'!$J$4:$J$9,MATCH(C39,'التقسيم Layout'!$B$4:$B$9,0)),"")</f>
        <v>175</v>
      </c>
    </row>
    <row r="40" spans="1:9" ht="17.25" thickTop="1" thickBot="1" x14ac:dyDescent="0.25">
      <c r="A40" s="23">
        <v>36</v>
      </c>
      <c r="B40" s="26" t="s">
        <v>98</v>
      </c>
      <c r="C40" s="27" t="s">
        <v>13</v>
      </c>
      <c r="D40" s="23" t="s">
        <v>13</v>
      </c>
      <c r="E40" s="23" t="s">
        <v>59</v>
      </c>
      <c r="F40" s="23">
        <v>8</v>
      </c>
      <c r="G40" s="23" t="s">
        <v>12</v>
      </c>
      <c r="H40" s="23" t="s">
        <v>14</v>
      </c>
      <c r="I40" s="23">
        <f>IFERROR(INDEX('التقسيم Layout'!$J$4:$J$9,MATCH(C40,'التقسيم Layout'!$B$4:$B$9,0)),"")</f>
        <v>175</v>
      </c>
    </row>
    <row r="41" spans="1:9" ht="17.25" thickTop="1" thickBot="1" x14ac:dyDescent="0.25">
      <c r="A41" s="23">
        <v>37</v>
      </c>
      <c r="B41" s="26" t="s">
        <v>99</v>
      </c>
      <c r="C41" s="27" t="s">
        <v>13</v>
      </c>
      <c r="D41" s="23" t="s">
        <v>17</v>
      </c>
      <c r="E41" s="23" t="s">
        <v>61</v>
      </c>
      <c r="F41" s="23">
        <v>8</v>
      </c>
      <c r="G41" s="23" t="s">
        <v>12</v>
      </c>
      <c r="H41" s="23" t="s">
        <v>14</v>
      </c>
      <c r="I41" s="23">
        <f>IFERROR(INDEX('التقسيم Layout'!$J$4:$J$9,MATCH(C41,'التقسيم Layout'!$B$4:$B$9,0)),"")</f>
        <v>175</v>
      </c>
    </row>
    <row r="42" spans="1:9" ht="17.25" thickTop="1" thickBot="1" x14ac:dyDescent="0.25">
      <c r="A42" s="23">
        <v>38</v>
      </c>
      <c r="B42" s="26" t="s">
        <v>100</v>
      </c>
      <c r="C42" s="27" t="s">
        <v>13</v>
      </c>
      <c r="D42" s="23" t="s">
        <v>20</v>
      </c>
      <c r="E42" s="23" t="s">
        <v>63</v>
      </c>
      <c r="F42" s="23">
        <v>8</v>
      </c>
      <c r="G42" s="23" t="s">
        <v>12</v>
      </c>
      <c r="H42" s="23" t="s">
        <v>14</v>
      </c>
      <c r="I42" s="23">
        <f>IFERROR(INDEX('التقسيم Layout'!$J$4:$J$9,MATCH(C42,'التقسيم Layout'!$B$4:$B$9,0)),"")</f>
        <v>175</v>
      </c>
    </row>
    <row r="43" spans="1:9" ht="17.25" thickTop="1" thickBot="1" x14ac:dyDescent="0.25">
      <c r="A43" s="23">
        <v>39</v>
      </c>
      <c r="B43" s="26" t="s">
        <v>101</v>
      </c>
      <c r="C43" s="27" t="s">
        <v>13</v>
      </c>
      <c r="D43" s="23" t="s">
        <v>22</v>
      </c>
      <c r="E43" s="23" t="s">
        <v>65</v>
      </c>
      <c r="F43" s="23">
        <v>8</v>
      </c>
      <c r="G43" s="23" t="s">
        <v>12</v>
      </c>
      <c r="H43" s="23" t="s">
        <v>14</v>
      </c>
      <c r="I43" s="23">
        <f>IFERROR(INDEX('التقسيم Layout'!$J$4:$J$9,MATCH(C43,'التقسيم Layout'!$B$4:$B$9,0)),"")</f>
        <v>175</v>
      </c>
    </row>
    <row r="44" spans="1:9" ht="17.25" thickTop="1" thickBot="1" x14ac:dyDescent="0.25">
      <c r="A44" s="23">
        <v>40</v>
      </c>
      <c r="B44" s="26" t="s">
        <v>102</v>
      </c>
      <c r="C44" s="27" t="s">
        <v>13</v>
      </c>
      <c r="D44" s="23" t="s">
        <v>26</v>
      </c>
      <c r="E44" s="23" t="s">
        <v>67</v>
      </c>
      <c r="F44" s="23">
        <v>8</v>
      </c>
      <c r="G44" s="23" t="s">
        <v>12</v>
      </c>
      <c r="H44" s="23" t="s">
        <v>14</v>
      </c>
      <c r="I44" s="23">
        <f>IFERROR(INDEX('التقسيم Layout'!$J$4:$J$9,MATCH(C44,'التقسيم Layout'!$B$4:$B$9,0)),"")</f>
        <v>175</v>
      </c>
    </row>
    <row r="45" spans="1:9" ht="17.25" thickTop="1" thickBot="1" x14ac:dyDescent="0.25">
      <c r="A45" s="23">
        <v>41</v>
      </c>
      <c r="B45" s="26" t="s">
        <v>103</v>
      </c>
      <c r="C45" s="27" t="s">
        <v>13</v>
      </c>
      <c r="D45" s="23" t="s">
        <v>13</v>
      </c>
      <c r="E45" s="23" t="s">
        <v>59</v>
      </c>
      <c r="F45" s="23">
        <v>9</v>
      </c>
      <c r="G45" s="23" t="s">
        <v>12</v>
      </c>
      <c r="H45" s="23" t="s">
        <v>14</v>
      </c>
      <c r="I45" s="23">
        <f>IFERROR(INDEX('التقسيم Layout'!$J$4:$J$9,MATCH(C45,'التقسيم Layout'!$B$4:$B$9,0)),"")</f>
        <v>175</v>
      </c>
    </row>
    <row r="46" spans="1:9" ht="17.25" thickTop="1" thickBot="1" x14ac:dyDescent="0.25">
      <c r="A46" s="23">
        <v>42</v>
      </c>
      <c r="B46" s="26" t="s">
        <v>104</v>
      </c>
      <c r="C46" s="27" t="s">
        <v>13</v>
      </c>
      <c r="D46" s="23" t="s">
        <v>17</v>
      </c>
      <c r="E46" s="23" t="s">
        <v>61</v>
      </c>
      <c r="F46" s="23">
        <v>9</v>
      </c>
      <c r="G46" s="23" t="s">
        <v>12</v>
      </c>
      <c r="H46" s="23" t="s">
        <v>14</v>
      </c>
      <c r="I46" s="23">
        <f>IFERROR(INDEX('التقسيم Layout'!$J$4:$J$9,MATCH(C46,'التقسيم Layout'!$B$4:$B$9,0)),"")</f>
        <v>175</v>
      </c>
    </row>
    <row r="47" spans="1:9" ht="17.25" thickTop="1" thickBot="1" x14ac:dyDescent="0.25">
      <c r="A47" s="23">
        <v>43</v>
      </c>
      <c r="B47" s="26" t="s">
        <v>105</v>
      </c>
      <c r="C47" s="27" t="s">
        <v>13</v>
      </c>
      <c r="D47" s="23" t="s">
        <v>20</v>
      </c>
      <c r="E47" s="23" t="s">
        <v>63</v>
      </c>
      <c r="F47" s="23">
        <v>9</v>
      </c>
      <c r="G47" s="23" t="s">
        <v>12</v>
      </c>
      <c r="H47" s="23" t="s">
        <v>14</v>
      </c>
      <c r="I47" s="23">
        <f>IFERROR(INDEX('التقسيم Layout'!$J$4:$J$9,MATCH(C47,'التقسيم Layout'!$B$4:$B$9,0)),"")</f>
        <v>175</v>
      </c>
    </row>
    <row r="48" spans="1:9" ht="17.25" thickTop="1" thickBot="1" x14ac:dyDescent="0.25">
      <c r="A48" s="23">
        <v>44</v>
      </c>
      <c r="B48" s="26" t="s">
        <v>106</v>
      </c>
      <c r="C48" s="27" t="s">
        <v>13</v>
      </c>
      <c r="D48" s="23" t="s">
        <v>22</v>
      </c>
      <c r="E48" s="23" t="s">
        <v>65</v>
      </c>
      <c r="F48" s="23">
        <v>9</v>
      </c>
      <c r="G48" s="23" t="s">
        <v>12</v>
      </c>
      <c r="H48" s="23" t="s">
        <v>14</v>
      </c>
      <c r="I48" s="23">
        <f>IFERROR(INDEX('التقسيم Layout'!$J$4:$J$9,MATCH(C48,'التقسيم Layout'!$B$4:$B$9,0)),"")</f>
        <v>175</v>
      </c>
    </row>
    <row r="49" spans="1:9" ht="17.25" thickTop="1" thickBot="1" x14ac:dyDescent="0.25">
      <c r="A49" s="23">
        <v>45</v>
      </c>
      <c r="B49" s="26" t="s">
        <v>107</v>
      </c>
      <c r="C49" s="27" t="s">
        <v>13</v>
      </c>
      <c r="D49" s="23" t="s">
        <v>26</v>
      </c>
      <c r="E49" s="23" t="s">
        <v>67</v>
      </c>
      <c r="F49" s="23">
        <v>9</v>
      </c>
      <c r="G49" s="23" t="s">
        <v>12</v>
      </c>
      <c r="H49" s="23" t="s">
        <v>14</v>
      </c>
      <c r="I49" s="23">
        <f>IFERROR(INDEX('التقسيم Layout'!$J$4:$J$9,MATCH(C49,'التقسيم Layout'!$B$4:$B$9,0)),"")</f>
        <v>175</v>
      </c>
    </row>
    <row r="50" spans="1:9" ht="17.25" thickTop="1" thickBot="1" x14ac:dyDescent="0.25">
      <c r="A50" s="23">
        <v>46</v>
      </c>
      <c r="B50" s="26" t="s">
        <v>108</v>
      </c>
      <c r="C50" s="27" t="s">
        <v>13</v>
      </c>
      <c r="D50" s="23" t="s">
        <v>13</v>
      </c>
      <c r="E50" s="23" t="s">
        <v>59</v>
      </c>
      <c r="F50" s="23">
        <v>10</v>
      </c>
      <c r="G50" s="23" t="s">
        <v>12</v>
      </c>
      <c r="H50" s="23" t="s">
        <v>14</v>
      </c>
      <c r="I50" s="23">
        <f>IFERROR(INDEX('التقسيم Layout'!$J$4:$J$9,MATCH(C50,'التقسيم Layout'!$B$4:$B$9,0)),"")</f>
        <v>175</v>
      </c>
    </row>
    <row r="51" spans="1:9" ht="17.25" thickTop="1" thickBot="1" x14ac:dyDescent="0.25">
      <c r="A51" s="23">
        <v>47</v>
      </c>
      <c r="B51" s="26" t="s">
        <v>109</v>
      </c>
      <c r="C51" s="27" t="s">
        <v>13</v>
      </c>
      <c r="D51" s="23" t="s">
        <v>17</v>
      </c>
      <c r="E51" s="23" t="s">
        <v>61</v>
      </c>
      <c r="F51" s="23">
        <v>10</v>
      </c>
      <c r="G51" s="23" t="s">
        <v>12</v>
      </c>
      <c r="H51" s="23" t="s">
        <v>14</v>
      </c>
      <c r="I51" s="23">
        <f>IFERROR(INDEX('التقسيم Layout'!$J$4:$J$9,MATCH(C51,'التقسيم Layout'!$B$4:$B$9,0)),"")</f>
        <v>175</v>
      </c>
    </row>
    <row r="52" spans="1:9" ht="17.25" thickTop="1" thickBot="1" x14ac:dyDescent="0.25">
      <c r="A52" s="23">
        <v>48</v>
      </c>
      <c r="B52" s="26" t="s">
        <v>110</v>
      </c>
      <c r="C52" s="27" t="s">
        <v>13</v>
      </c>
      <c r="D52" s="23" t="s">
        <v>20</v>
      </c>
      <c r="E52" s="23" t="s">
        <v>63</v>
      </c>
      <c r="F52" s="23">
        <v>10</v>
      </c>
      <c r="G52" s="23" t="s">
        <v>12</v>
      </c>
      <c r="H52" s="23" t="s">
        <v>14</v>
      </c>
      <c r="I52" s="23">
        <f>IFERROR(INDEX('التقسيم Layout'!$J$4:$J$9,MATCH(C52,'التقسيم Layout'!$B$4:$B$9,0)),"")</f>
        <v>175</v>
      </c>
    </row>
    <row r="53" spans="1:9" ht="17.25" thickTop="1" thickBot="1" x14ac:dyDescent="0.25">
      <c r="A53" s="23">
        <v>49</v>
      </c>
      <c r="B53" s="26" t="s">
        <v>111</v>
      </c>
      <c r="C53" s="27" t="s">
        <v>13</v>
      </c>
      <c r="D53" s="23" t="s">
        <v>22</v>
      </c>
      <c r="E53" s="23" t="s">
        <v>65</v>
      </c>
      <c r="F53" s="23">
        <v>10</v>
      </c>
      <c r="G53" s="23" t="s">
        <v>12</v>
      </c>
      <c r="H53" s="23" t="s">
        <v>14</v>
      </c>
      <c r="I53" s="23">
        <f>IFERROR(INDEX('التقسيم Layout'!$J$4:$J$9,MATCH(C53,'التقسيم Layout'!$B$4:$B$9,0)),"")</f>
        <v>175</v>
      </c>
    </row>
    <row r="54" spans="1:9" ht="17.25" thickTop="1" thickBot="1" x14ac:dyDescent="0.25">
      <c r="A54" s="23">
        <v>50</v>
      </c>
      <c r="B54" s="26" t="s">
        <v>112</v>
      </c>
      <c r="C54" s="27" t="s">
        <v>13</v>
      </c>
      <c r="D54" s="23" t="s">
        <v>26</v>
      </c>
      <c r="E54" s="23" t="s">
        <v>67</v>
      </c>
      <c r="F54" s="23">
        <v>10</v>
      </c>
      <c r="G54" s="23" t="s">
        <v>12</v>
      </c>
      <c r="H54" s="23" t="s">
        <v>14</v>
      </c>
      <c r="I54" s="23">
        <f>IFERROR(INDEX('التقسيم Layout'!$J$4:$J$9,MATCH(C54,'التقسيم Layout'!$B$4:$B$9,0)),"")</f>
        <v>175</v>
      </c>
    </row>
    <row r="55" spans="1:9" ht="17.25" thickTop="1" thickBot="1" x14ac:dyDescent="0.25">
      <c r="A55" s="23">
        <v>51</v>
      </c>
      <c r="B55" s="26" t="s">
        <v>113</v>
      </c>
      <c r="C55" s="27" t="s">
        <v>13</v>
      </c>
      <c r="D55" s="23" t="s">
        <v>13</v>
      </c>
      <c r="E55" s="23" t="s">
        <v>59</v>
      </c>
      <c r="F55" s="23">
        <v>11</v>
      </c>
      <c r="G55" s="23" t="s">
        <v>12</v>
      </c>
      <c r="H55" s="23" t="s">
        <v>14</v>
      </c>
      <c r="I55" s="23">
        <f>IFERROR(INDEX('التقسيم Layout'!$J$4:$J$9,MATCH(C55,'التقسيم Layout'!$B$4:$B$9,0)),"")</f>
        <v>175</v>
      </c>
    </row>
    <row r="56" spans="1:9" ht="17.25" thickTop="1" thickBot="1" x14ac:dyDescent="0.25">
      <c r="A56" s="23">
        <v>52</v>
      </c>
      <c r="B56" s="26" t="s">
        <v>114</v>
      </c>
      <c r="C56" s="27" t="s">
        <v>13</v>
      </c>
      <c r="D56" s="23" t="s">
        <v>17</v>
      </c>
      <c r="E56" s="23" t="s">
        <v>61</v>
      </c>
      <c r="F56" s="23">
        <v>11</v>
      </c>
      <c r="G56" s="23" t="s">
        <v>12</v>
      </c>
      <c r="H56" s="23" t="s">
        <v>14</v>
      </c>
      <c r="I56" s="23">
        <f>IFERROR(INDEX('التقسيم Layout'!$J$4:$J$9,MATCH(C56,'التقسيم Layout'!$B$4:$B$9,0)),"")</f>
        <v>175</v>
      </c>
    </row>
    <row r="57" spans="1:9" ht="17.25" thickTop="1" thickBot="1" x14ac:dyDescent="0.25">
      <c r="A57" s="23">
        <v>53</v>
      </c>
      <c r="B57" s="26" t="s">
        <v>115</v>
      </c>
      <c r="C57" s="27" t="s">
        <v>13</v>
      </c>
      <c r="D57" s="23" t="s">
        <v>20</v>
      </c>
      <c r="E57" s="23" t="s">
        <v>63</v>
      </c>
      <c r="F57" s="23">
        <v>11</v>
      </c>
      <c r="G57" s="23" t="s">
        <v>12</v>
      </c>
      <c r="H57" s="23" t="s">
        <v>14</v>
      </c>
      <c r="I57" s="23">
        <f>IFERROR(INDEX('التقسيم Layout'!$J$4:$J$9,MATCH(C57,'التقسيم Layout'!$B$4:$B$9,0)),"")</f>
        <v>175</v>
      </c>
    </row>
    <row r="58" spans="1:9" ht="17.25" thickTop="1" thickBot="1" x14ac:dyDescent="0.25">
      <c r="A58" s="23">
        <v>54</v>
      </c>
      <c r="B58" s="26" t="s">
        <v>116</v>
      </c>
      <c r="C58" s="27" t="s">
        <v>13</v>
      </c>
      <c r="D58" s="23" t="s">
        <v>22</v>
      </c>
      <c r="E58" s="23" t="s">
        <v>65</v>
      </c>
      <c r="F58" s="23">
        <v>11</v>
      </c>
      <c r="G58" s="23" t="s">
        <v>12</v>
      </c>
      <c r="H58" s="23" t="s">
        <v>14</v>
      </c>
      <c r="I58" s="23">
        <f>IFERROR(INDEX('التقسيم Layout'!$J$4:$J$9,MATCH(C58,'التقسيم Layout'!$B$4:$B$9,0)),"")</f>
        <v>175</v>
      </c>
    </row>
    <row r="59" spans="1:9" ht="17.25" thickTop="1" thickBot="1" x14ac:dyDescent="0.25">
      <c r="A59" s="23">
        <v>55</v>
      </c>
      <c r="B59" s="26" t="s">
        <v>117</v>
      </c>
      <c r="C59" s="27" t="s">
        <v>13</v>
      </c>
      <c r="D59" s="23" t="s">
        <v>26</v>
      </c>
      <c r="E59" s="23" t="s">
        <v>67</v>
      </c>
      <c r="F59" s="23">
        <v>11</v>
      </c>
      <c r="G59" s="23" t="s">
        <v>12</v>
      </c>
      <c r="H59" s="23" t="s">
        <v>14</v>
      </c>
      <c r="I59" s="23">
        <f>IFERROR(INDEX('التقسيم Layout'!$J$4:$J$9,MATCH(C59,'التقسيم Layout'!$B$4:$B$9,0)),"")</f>
        <v>175</v>
      </c>
    </row>
    <row r="60" spans="1:9" ht="17.25" thickTop="1" thickBot="1" x14ac:dyDescent="0.25">
      <c r="A60" s="23">
        <v>56</v>
      </c>
      <c r="B60" s="26" t="s">
        <v>118</v>
      </c>
      <c r="C60" s="27" t="s">
        <v>13</v>
      </c>
      <c r="D60" s="23" t="s">
        <v>13</v>
      </c>
      <c r="E60" s="23" t="s">
        <v>59</v>
      </c>
      <c r="F60" s="23">
        <v>12</v>
      </c>
      <c r="G60" s="23" t="s">
        <v>12</v>
      </c>
      <c r="H60" s="23" t="s">
        <v>14</v>
      </c>
      <c r="I60" s="23">
        <f>IFERROR(INDEX('التقسيم Layout'!$J$4:$J$9,MATCH(C60,'التقسيم Layout'!$B$4:$B$9,0)),"")</f>
        <v>175</v>
      </c>
    </row>
    <row r="61" spans="1:9" ht="17.25" thickTop="1" thickBot="1" x14ac:dyDescent="0.25">
      <c r="A61" s="23">
        <v>57</v>
      </c>
      <c r="B61" s="26" t="s">
        <v>119</v>
      </c>
      <c r="C61" s="27" t="s">
        <v>13</v>
      </c>
      <c r="D61" s="23" t="s">
        <v>17</v>
      </c>
      <c r="E61" s="23" t="s">
        <v>61</v>
      </c>
      <c r="F61" s="23">
        <v>12</v>
      </c>
      <c r="G61" s="23" t="s">
        <v>12</v>
      </c>
      <c r="H61" s="23" t="s">
        <v>14</v>
      </c>
      <c r="I61" s="23">
        <f>IFERROR(INDEX('التقسيم Layout'!$J$4:$J$9,MATCH(C61,'التقسيم Layout'!$B$4:$B$9,0)),"")</f>
        <v>175</v>
      </c>
    </row>
    <row r="62" spans="1:9" ht="17.25" thickTop="1" thickBot="1" x14ac:dyDescent="0.25">
      <c r="A62" s="23">
        <v>58</v>
      </c>
      <c r="B62" s="26" t="s">
        <v>120</v>
      </c>
      <c r="C62" s="27" t="s">
        <v>13</v>
      </c>
      <c r="D62" s="23" t="s">
        <v>20</v>
      </c>
      <c r="E62" s="23" t="s">
        <v>63</v>
      </c>
      <c r="F62" s="23">
        <v>12</v>
      </c>
      <c r="G62" s="23" t="s">
        <v>12</v>
      </c>
      <c r="H62" s="23" t="s">
        <v>14</v>
      </c>
      <c r="I62" s="23">
        <f>IFERROR(INDEX('التقسيم Layout'!$J$4:$J$9,MATCH(C62,'التقسيم Layout'!$B$4:$B$9,0)),"")</f>
        <v>175</v>
      </c>
    </row>
    <row r="63" spans="1:9" ht="17.25" thickTop="1" thickBot="1" x14ac:dyDescent="0.25">
      <c r="A63" s="23">
        <v>59</v>
      </c>
      <c r="B63" s="26" t="s">
        <v>121</v>
      </c>
      <c r="C63" s="27" t="s">
        <v>13</v>
      </c>
      <c r="D63" s="23" t="s">
        <v>22</v>
      </c>
      <c r="E63" s="23" t="s">
        <v>65</v>
      </c>
      <c r="F63" s="23">
        <v>12</v>
      </c>
      <c r="G63" s="23" t="s">
        <v>12</v>
      </c>
      <c r="H63" s="23" t="s">
        <v>14</v>
      </c>
      <c r="I63" s="23">
        <f>IFERROR(INDEX('التقسيم Layout'!$J$4:$J$9,MATCH(C63,'التقسيم Layout'!$B$4:$B$9,0)),"")</f>
        <v>175</v>
      </c>
    </row>
    <row r="64" spans="1:9" ht="17.25" thickTop="1" thickBot="1" x14ac:dyDescent="0.25">
      <c r="A64" s="23">
        <v>60</v>
      </c>
      <c r="B64" s="26" t="s">
        <v>122</v>
      </c>
      <c r="C64" s="27" t="s">
        <v>13</v>
      </c>
      <c r="D64" s="23" t="s">
        <v>26</v>
      </c>
      <c r="E64" s="23" t="s">
        <v>67</v>
      </c>
      <c r="F64" s="23">
        <v>12</v>
      </c>
      <c r="G64" s="23" t="s">
        <v>12</v>
      </c>
      <c r="H64" s="23" t="s">
        <v>14</v>
      </c>
      <c r="I64" s="23">
        <f>IFERROR(INDEX('التقسيم Layout'!$J$4:$J$9,MATCH(C64,'التقسيم Layout'!$B$4:$B$9,0)),"")</f>
        <v>175</v>
      </c>
    </row>
    <row r="65" spans="1:9" ht="17.25" thickTop="1" thickBot="1" x14ac:dyDescent="0.25">
      <c r="A65" s="23">
        <v>61</v>
      </c>
      <c r="B65" s="26" t="s">
        <v>123</v>
      </c>
      <c r="C65" s="27" t="s">
        <v>13</v>
      </c>
      <c r="D65" s="23" t="s">
        <v>13</v>
      </c>
      <c r="E65" s="23" t="s">
        <v>59</v>
      </c>
      <c r="F65" s="23">
        <v>13</v>
      </c>
      <c r="G65" s="23" t="s">
        <v>12</v>
      </c>
      <c r="H65" s="23" t="s">
        <v>14</v>
      </c>
      <c r="I65" s="23">
        <f>IFERROR(INDEX('التقسيم Layout'!$J$4:$J$9,MATCH(C65,'التقسيم Layout'!$B$4:$B$9,0)),"")</f>
        <v>175</v>
      </c>
    </row>
    <row r="66" spans="1:9" ht="17.25" thickTop="1" thickBot="1" x14ac:dyDescent="0.25">
      <c r="A66" s="23">
        <v>62</v>
      </c>
      <c r="B66" s="26" t="s">
        <v>124</v>
      </c>
      <c r="C66" s="27" t="s">
        <v>13</v>
      </c>
      <c r="D66" s="23" t="s">
        <v>17</v>
      </c>
      <c r="E66" s="23" t="s">
        <v>61</v>
      </c>
      <c r="F66" s="23">
        <v>13</v>
      </c>
      <c r="G66" s="23" t="s">
        <v>12</v>
      </c>
      <c r="H66" s="23" t="s">
        <v>14</v>
      </c>
      <c r="I66" s="23">
        <f>IFERROR(INDEX('التقسيم Layout'!$J$4:$J$9,MATCH(C66,'التقسيم Layout'!$B$4:$B$9,0)),"")</f>
        <v>175</v>
      </c>
    </row>
    <row r="67" spans="1:9" ht="17.25" thickTop="1" thickBot="1" x14ac:dyDescent="0.25">
      <c r="A67" s="23">
        <v>63</v>
      </c>
      <c r="B67" s="26" t="s">
        <v>125</v>
      </c>
      <c r="C67" s="27" t="s">
        <v>13</v>
      </c>
      <c r="D67" s="23" t="s">
        <v>20</v>
      </c>
      <c r="E67" s="23" t="s">
        <v>63</v>
      </c>
      <c r="F67" s="23">
        <v>13</v>
      </c>
      <c r="G67" s="23" t="s">
        <v>12</v>
      </c>
      <c r="H67" s="23" t="s">
        <v>14</v>
      </c>
      <c r="I67" s="23">
        <f>IFERROR(INDEX('التقسيم Layout'!$J$4:$J$9,MATCH(C67,'التقسيم Layout'!$B$4:$B$9,0)),"")</f>
        <v>175</v>
      </c>
    </row>
    <row r="68" spans="1:9" ht="17.25" thickTop="1" thickBot="1" x14ac:dyDescent="0.25">
      <c r="A68" s="23">
        <v>64</v>
      </c>
      <c r="B68" s="26" t="s">
        <v>126</v>
      </c>
      <c r="C68" s="27" t="s">
        <v>13</v>
      </c>
      <c r="D68" s="23" t="s">
        <v>22</v>
      </c>
      <c r="E68" s="23" t="s">
        <v>65</v>
      </c>
      <c r="F68" s="23">
        <v>13</v>
      </c>
      <c r="G68" s="23" t="s">
        <v>12</v>
      </c>
      <c r="H68" s="23" t="s">
        <v>14</v>
      </c>
      <c r="I68" s="23">
        <f>IFERROR(INDEX('التقسيم Layout'!$J$4:$J$9,MATCH(C68,'التقسيم Layout'!$B$4:$B$9,0)),"")</f>
        <v>175</v>
      </c>
    </row>
    <row r="69" spans="1:9" ht="17.25" thickTop="1" thickBot="1" x14ac:dyDescent="0.25">
      <c r="A69" s="23">
        <v>65</v>
      </c>
      <c r="B69" s="26" t="s">
        <v>127</v>
      </c>
      <c r="C69" s="27" t="s">
        <v>13</v>
      </c>
      <c r="D69" s="23" t="s">
        <v>26</v>
      </c>
      <c r="E69" s="23" t="s">
        <v>67</v>
      </c>
      <c r="F69" s="23">
        <v>13</v>
      </c>
      <c r="G69" s="23" t="s">
        <v>12</v>
      </c>
      <c r="H69" s="23" t="s">
        <v>14</v>
      </c>
      <c r="I69" s="23">
        <f>IFERROR(INDEX('التقسيم Layout'!$J$4:$J$9,MATCH(C69,'التقسيم Layout'!$B$4:$B$9,0)),"")</f>
        <v>175</v>
      </c>
    </row>
    <row r="70" spans="1:9" ht="17.25" thickTop="1" thickBot="1" x14ac:dyDescent="0.25">
      <c r="A70" s="23">
        <v>66</v>
      </c>
      <c r="B70" s="26" t="s">
        <v>128</v>
      </c>
      <c r="C70" s="27" t="s">
        <v>13</v>
      </c>
      <c r="D70" s="23" t="s">
        <v>13</v>
      </c>
      <c r="E70" s="23" t="s">
        <v>59</v>
      </c>
      <c r="F70" s="23">
        <v>14</v>
      </c>
      <c r="G70" s="23" t="s">
        <v>12</v>
      </c>
      <c r="H70" s="23" t="s">
        <v>14</v>
      </c>
      <c r="I70" s="23">
        <f>IFERROR(INDEX('التقسيم Layout'!$J$4:$J$9,MATCH(C70,'التقسيم Layout'!$B$4:$B$9,0)),"")</f>
        <v>175</v>
      </c>
    </row>
    <row r="71" spans="1:9" ht="17.25" thickTop="1" thickBot="1" x14ac:dyDescent="0.25">
      <c r="A71" s="23">
        <v>67</v>
      </c>
      <c r="B71" s="26" t="s">
        <v>129</v>
      </c>
      <c r="C71" s="27" t="s">
        <v>13</v>
      </c>
      <c r="D71" s="23" t="s">
        <v>17</v>
      </c>
      <c r="E71" s="23" t="s">
        <v>61</v>
      </c>
      <c r="F71" s="23">
        <v>14</v>
      </c>
      <c r="G71" s="23" t="s">
        <v>12</v>
      </c>
      <c r="H71" s="23" t="s">
        <v>14</v>
      </c>
      <c r="I71" s="23">
        <f>IFERROR(INDEX('التقسيم Layout'!$J$4:$J$9,MATCH(C71,'التقسيم Layout'!$B$4:$B$9,0)),"")</f>
        <v>175</v>
      </c>
    </row>
    <row r="72" spans="1:9" ht="17.25" thickTop="1" thickBot="1" x14ac:dyDescent="0.25">
      <c r="A72" s="23">
        <v>68</v>
      </c>
      <c r="B72" s="26" t="s">
        <v>130</v>
      </c>
      <c r="C72" s="27" t="s">
        <v>13</v>
      </c>
      <c r="D72" s="23" t="s">
        <v>20</v>
      </c>
      <c r="E72" s="23" t="s">
        <v>63</v>
      </c>
      <c r="F72" s="23">
        <v>14</v>
      </c>
      <c r="G72" s="23" t="s">
        <v>12</v>
      </c>
      <c r="H72" s="23" t="s">
        <v>14</v>
      </c>
      <c r="I72" s="23">
        <f>IFERROR(INDEX('التقسيم Layout'!$J$4:$J$9,MATCH(C72,'التقسيم Layout'!$B$4:$B$9,0)),"")</f>
        <v>175</v>
      </c>
    </row>
    <row r="73" spans="1:9" ht="17.25" thickTop="1" thickBot="1" x14ac:dyDescent="0.25">
      <c r="A73" s="23">
        <v>69</v>
      </c>
      <c r="B73" s="26" t="s">
        <v>131</v>
      </c>
      <c r="C73" s="27" t="s">
        <v>13</v>
      </c>
      <c r="D73" s="23" t="s">
        <v>22</v>
      </c>
      <c r="E73" s="23" t="s">
        <v>65</v>
      </c>
      <c r="F73" s="23">
        <v>14</v>
      </c>
      <c r="G73" s="23" t="s">
        <v>12</v>
      </c>
      <c r="H73" s="23" t="s">
        <v>14</v>
      </c>
      <c r="I73" s="23">
        <f>IFERROR(INDEX('التقسيم Layout'!$J$4:$J$9,MATCH(C73,'التقسيم Layout'!$B$4:$B$9,0)),"")</f>
        <v>175</v>
      </c>
    </row>
    <row r="74" spans="1:9" ht="17.25" thickTop="1" thickBot="1" x14ac:dyDescent="0.25">
      <c r="A74" s="23">
        <v>70</v>
      </c>
      <c r="B74" s="26" t="s">
        <v>132</v>
      </c>
      <c r="C74" s="27" t="s">
        <v>13</v>
      </c>
      <c r="D74" s="23" t="s">
        <v>26</v>
      </c>
      <c r="E74" s="23" t="s">
        <v>67</v>
      </c>
      <c r="F74" s="23">
        <v>14</v>
      </c>
      <c r="G74" s="23" t="s">
        <v>12</v>
      </c>
      <c r="H74" s="23" t="s">
        <v>14</v>
      </c>
      <c r="I74" s="23">
        <f>IFERROR(INDEX('التقسيم Layout'!$J$4:$J$9,MATCH(C74,'التقسيم Layout'!$B$4:$B$9,0)),"")</f>
        <v>175</v>
      </c>
    </row>
    <row r="75" spans="1:9" ht="17.25" thickTop="1" thickBot="1" x14ac:dyDescent="0.25">
      <c r="A75" s="23">
        <v>71</v>
      </c>
      <c r="B75" s="26" t="s">
        <v>133</v>
      </c>
      <c r="C75" s="27" t="s">
        <v>13</v>
      </c>
      <c r="D75" s="23" t="s">
        <v>13</v>
      </c>
      <c r="E75" s="23" t="s">
        <v>59</v>
      </c>
      <c r="F75" s="23">
        <v>15</v>
      </c>
      <c r="G75" s="23" t="s">
        <v>12</v>
      </c>
      <c r="H75" s="23" t="s">
        <v>14</v>
      </c>
      <c r="I75" s="23">
        <f>IFERROR(INDEX('التقسيم Layout'!$J$4:$J$9,MATCH(C75,'التقسيم Layout'!$B$4:$B$9,0)),"")</f>
        <v>175</v>
      </c>
    </row>
    <row r="76" spans="1:9" ht="17.25" thickTop="1" thickBot="1" x14ac:dyDescent="0.25">
      <c r="A76" s="23">
        <v>72</v>
      </c>
      <c r="B76" s="26" t="s">
        <v>134</v>
      </c>
      <c r="C76" s="27" t="s">
        <v>13</v>
      </c>
      <c r="D76" s="23" t="s">
        <v>17</v>
      </c>
      <c r="E76" s="23" t="s">
        <v>61</v>
      </c>
      <c r="F76" s="23">
        <v>15</v>
      </c>
      <c r="G76" s="23" t="s">
        <v>12</v>
      </c>
      <c r="H76" s="23" t="s">
        <v>14</v>
      </c>
      <c r="I76" s="23">
        <f>IFERROR(INDEX('التقسيم Layout'!$J$4:$J$9,MATCH(C76,'التقسيم Layout'!$B$4:$B$9,0)),"")</f>
        <v>175</v>
      </c>
    </row>
    <row r="77" spans="1:9" ht="17.25" thickTop="1" thickBot="1" x14ac:dyDescent="0.25">
      <c r="A77" s="23">
        <v>73</v>
      </c>
      <c r="B77" s="26" t="s">
        <v>135</v>
      </c>
      <c r="C77" s="27" t="s">
        <v>13</v>
      </c>
      <c r="D77" s="23" t="s">
        <v>20</v>
      </c>
      <c r="E77" s="23" t="s">
        <v>63</v>
      </c>
      <c r="F77" s="23">
        <v>15</v>
      </c>
      <c r="G77" s="23" t="s">
        <v>12</v>
      </c>
      <c r="H77" s="23" t="s">
        <v>14</v>
      </c>
      <c r="I77" s="23">
        <f>IFERROR(INDEX('التقسيم Layout'!$J$4:$J$9,MATCH(C77,'التقسيم Layout'!$B$4:$B$9,0)),"")</f>
        <v>175</v>
      </c>
    </row>
    <row r="78" spans="1:9" ht="17.25" thickTop="1" thickBot="1" x14ac:dyDescent="0.25">
      <c r="A78" s="23">
        <v>74</v>
      </c>
      <c r="B78" s="26" t="s">
        <v>136</v>
      </c>
      <c r="C78" s="27" t="s">
        <v>13</v>
      </c>
      <c r="D78" s="23" t="s">
        <v>22</v>
      </c>
      <c r="E78" s="23" t="s">
        <v>65</v>
      </c>
      <c r="F78" s="23">
        <v>15</v>
      </c>
      <c r="G78" s="23" t="s">
        <v>12</v>
      </c>
      <c r="H78" s="23" t="s">
        <v>14</v>
      </c>
      <c r="I78" s="23">
        <f>IFERROR(INDEX('التقسيم Layout'!$J$4:$J$9,MATCH(C78,'التقسيم Layout'!$B$4:$B$9,0)),"")</f>
        <v>175</v>
      </c>
    </row>
    <row r="79" spans="1:9" ht="17.25" thickTop="1" thickBot="1" x14ac:dyDescent="0.25">
      <c r="A79" s="23">
        <v>75</v>
      </c>
      <c r="B79" s="26" t="s">
        <v>137</v>
      </c>
      <c r="C79" s="27" t="s">
        <v>13</v>
      </c>
      <c r="D79" s="23" t="s">
        <v>26</v>
      </c>
      <c r="E79" s="23" t="s">
        <v>67</v>
      </c>
      <c r="F79" s="23">
        <v>15</v>
      </c>
      <c r="G79" s="23" t="s">
        <v>12</v>
      </c>
      <c r="H79" s="23" t="s">
        <v>14</v>
      </c>
      <c r="I79" s="23">
        <f>IFERROR(INDEX('التقسيم Layout'!$J$4:$J$9,MATCH(C79,'التقسيم Layout'!$B$4:$B$9,0)),"")</f>
        <v>175</v>
      </c>
    </row>
    <row r="80" spans="1:9" ht="17.25" thickTop="1" thickBot="1" x14ac:dyDescent="0.25">
      <c r="A80" s="23">
        <v>76</v>
      </c>
      <c r="B80" s="26" t="s">
        <v>138</v>
      </c>
      <c r="C80" s="27" t="s">
        <v>13</v>
      </c>
      <c r="D80" s="23" t="s">
        <v>13</v>
      </c>
      <c r="E80" s="23" t="s">
        <v>59</v>
      </c>
      <c r="F80" s="23">
        <v>16</v>
      </c>
      <c r="G80" s="23" t="s">
        <v>12</v>
      </c>
      <c r="H80" s="23" t="s">
        <v>14</v>
      </c>
      <c r="I80" s="23">
        <f>IFERROR(INDEX('التقسيم Layout'!$J$4:$J$9,MATCH(C80,'التقسيم Layout'!$B$4:$B$9,0)),"")</f>
        <v>175</v>
      </c>
    </row>
    <row r="81" spans="1:9" ht="17.25" thickTop="1" thickBot="1" x14ac:dyDescent="0.25">
      <c r="A81" s="23">
        <v>77</v>
      </c>
      <c r="B81" s="26" t="s">
        <v>139</v>
      </c>
      <c r="C81" s="27" t="s">
        <v>13</v>
      </c>
      <c r="D81" s="23" t="s">
        <v>17</v>
      </c>
      <c r="E81" s="23" t="s">
        <v>61</v>
      </c>
      <c r="F81" s="23">
        <v>16</v>
      </c>
      <c r="G81" s="23" t="s">
        <v>12</v>
      </c>
      <c r="H81" s="23" t="s">
        <v>14</v>
      </c>
      <c r="I81" s="23">
        <f>IFERROR(INDEX('التقسيم Layout'!$J$4:$J$9,MATCH(C81,'التقسيم Layout'!$B$4:$B$9,0)),"")</f>
        <v>175</v>
      </c>
    </row>
    <row r="82" spans="1:9" ht="17.25" thickTop="1" thickBot="1" x14ac:dyDescent="0.25">
      <c r="A82" s="23">
        <v>78</v>
      </c>
      <c r="B82" s="26" t="s">
        <v>140</v>
      </c>
      <c r="C82" s="27" t="s">
        <v>13</v>
      </c>
      <c r="D82" s="23" t="s">
        <v>20</v>
      </c>
      <c r="E82" s="23" t="s">
        <v>63</v>
      </c>
      <c r="F82" s="23">
        <v>16</v>
      </c>
      <c r="G82" s="23" t="s">
        <v>12</v>
      </c>
      <c r="H82" s="23" t="s">
        <v>14</v>
      </c>
      <c r="I82" s="23">
        <f>IFERROR(INDEX('التقسيم Layout'!$J$4:$J$9,MATCH(C82,'التقسيم Layout'!$B$4:$B$9,0)),"")</f>
        <v>175</v>
      </c>
    </row>
    <row r="83" spans="1:9" ht="17.25" thickTop="1" thickBot="1" x14ac:dyDescent="0.25">
      <c r="A83" s="23">
        <v>79</v>
      </c>
      <c r="B83" s="26" t="s">
        <v>141</v>
      </c>
      <c r="C83" s="27" t="s">
        <v>13</v>
      </c>
      <c r="D83" s="23" t="s">
        <v>22</v>
      </c>
      <c r="E83" s="23" t="s">
        <v>65</v>
      </c>
      <c r="F83" s="23">
        <v>16</v>
      </c>
      <c r="G83" s="23" t="s">
        <v>12</v>
      </c>
      <c r="H83" s="23" t="s">
        <v>14</v>
      </c>
      <c r="I83" s="23">
        <f>IFERROR(INDEX('التقسيم Layout'!$J$4:$J$9,MATCH(C83,'التقسيم Layout'!$B$4:$B$9,0)),"")</f>
        <v>175</v>
      </c>
    </row>
    <row r="84" spans="1:9" ht="17.25" thickTop="1" thickBot="1" x14ac:dyDescent="0.25">
      <c r="A84" s="23">
        <v>80</v>
      </c>
      <c r="B84" s="26" t="s">
        <v>142</v>
      </c>
      <c r="C84" s="27" t="s">
        <v>13</v>
      </c>
      <c r="D84" s="23" t="s">
        <v>26</v>
      </c>
      <c r="E84" s="23" t="s">
        <v>67</v>
      </c>
      <c r="F84" s="23">
        <v>16</v>
      </c>
      <c r="G84" s="23" t="s">
        <v>12</v>
      </c>
      <c r="H84" s="23" t="s">
        <v>14</v>
      </c>
      <c r="I84" s="23">
        <f>IFERROR(INDEX('التقسيم Layout'!$J$4:$J$9,MATCH(C84,'التقسيم Layout'!$B$4:$B$9,0)),"")</f>
        <v>175</v>
      </c>
    </row>
    <row r="85" spans="1:9" ht="17.25" thickTop="1" thickBot="1" x14ac:dyDescent="0.25">
      <c r="A85" s="23">
        <v>81</v>
      </c>
      <c r="B85" s="26" t="s">
        <v>143</v>
      </c>
      <c r="C85" s="27" t="s">
        <v>13</v>
      </c>
      <c r="D85" s="23" t="s">
        <v>13</v>
      </c>
      <c r="E85" s="23" t="s">
        <v>59</v>
      </c>
      <c r="F85" s="23">
        <v>17</v>
      </c>
      <c r="G85" s="23" t="s">
        <v>12</v>
      </c>
      <c r="H85" s="23" t="s">
        <v>14</v>
      </c>
      <c r="I85" s="23">
        <f>IFERROR(INDEX('التقسيم Layout'!$J$4:$J$9,MATCH(C85,'التقسيم Layout'!$B$4:$B$9,0)),"")</f>
        <v>175</v>
      </c>
    </row>
    <row r="86" spans="1:9" ht="17.25" thickTop="1" thickBot="1" x14ac:dyDescent="0.25">
      <c r="A86" s="23">
        <v>82</v>
      </c>
      <c r="B86" s="26" t="s">
        <v>144</v>
      </c>
      <c r="C86" s="27" t="s">
        <v>13</v>
      </c>
      <c r="D86" s="23" t="s">
        <v>17</v>
      </c>
      <c r="E86" s="23" t="s">
        <v>61</v>
      </c>
      <c r="F86" s="23">
        <v>17</v>
      </c>
      <c r="G86" s="23" t="s">
        <v>12</v>
      </c>
      <c r="H86" s="23" t="s">
        <v>14</v>
      </c>
      <c r="I86" s="23">
        <f>IFERROR(INDEX('التقسيم Layout'!$J$4:$J$9,MATCH(C86,'التقسيم Layout'!$B$4:$B$9,0)),"")</f>
        <v>175</v>
      </c>
    </row>
    <row r="87" spans="1:9" ht="17.25" thickTop="1" thickBot="1" x14ac:dyDescent="0.25">
      <c r="A87" s="23">
        <v>83</v>
      </c>
      <c r="B87" s="26" t="s">
        <v>145</v>
      </c>
      <c r="C87" s="27" t="s">
        <v>13</v>
      </c>
      <c r="D87" s="23" t="s">
        <v>20</v>
      </c>
      <c r="E87" s="23" t="s">
        <v>63</v>
      </c>
      <c r="F87" s="23">
        <v>17</v>
      </c>
      <c r="G87" s="23" t="s">
        <v>12</v>
      </c>
      <c r="H87" s="23" t="s">
        <v>14</v>
      </c>
      <c r="I87" s="23">
        <f>IFERROR(INDEX('التقسيم Layout'!$J$4:$J$9,MATCH(C87,'التقسيم Layout'!$B$4:$B$9,0)),"")</f>
        <v>175</v>
      </c>
    </row>
    <row r="88" spans="1:9" ht="17.25" thickTop="1" thickBot="1" x14ac:dyDescent="0.25">
      <c r="A88" s="23">
        <v>84</v>
      </c>
      <c r="B88" s="26" t="s">
        <v>146</v>
      </c>
      <c r="C88" s="27" t="s">
        <v>13</v>
      </c>
      <c r="D88" s="23" t="s">
        <v>22</v>
      </c>
      <c r="E88" s="23" t="s">
        <v>65</v>
      </c>
      <c r="F88" s="23">
        <v>17</v>
      </c>
      <c r="G88" s="23" t="s">
        <v>12</v>
      </c>
      <c r="H88" s="23" t="s">
        <v>14</v>
      </c>
      <c r="I88" s="23">
        <f>IFERROR(INDEX('التقسيم Layout'!$J$4:$J$9,MATCH(C88,'التقسيم Layout'!$B$4:$B$9,0)),"")</f>
        <v>175</v>
      </c>
    </row>
    <row r="89" spans="1:9" ht="17.25" thickTop="1" thickBot="1" x14ac:dyDescent="0.25">
      <c r="A89" s="23">
        <v>85</v>
      </c>
      <c r="B89" s="26" t="s">
        <v>147</v>
      </c>
      <c r="C89" s="27" t="s">
        <v>13</v>
      </c>
      <c r="D89" s="23" t="s">
        <v>26</v>
      </c>
      <c r="E89" s="23" t="s">
        <v>67</v>
      </c>
      <c r="F89" s="23">
        <v>17</v>
      </c>
      <c r="G89" s="23" t="s">
        <v>12</v>
      </c>
      <c r="H89" s="23" t="s">
        <v>14</v>
      </c>
      <c r="I89" s="23">
        <f>IFERROR(INDEX('التقسيم Layout'!$J$4:$J$9,MATCH(C89,'التقسيم Layout'!$B$4:$B$9,0)),"")</f>
        <v>175</v>
      </c>
    </row>
    <row r="90" spans="1:9" ht="17.25" thickTop="1" thickBot="1" x14ac:dyDescent="0.25">
      <c r="A90" s="23">
        <v>86</v>
      </c>
      <c r="B90" s="26" t="s">
        <v>148</v>
      </c>
      <c r="C90" s="27" t="s">
        <v>13</v>
      </c>
      <c r="D90" s="23" t="s">
        <v>13</v>
      </c>
      <c r="E90" s="23" t="s">
        <v>59</v>
      </c>
      <c r="F90" s="23">
        <v>18</v>
      </c>
      <c r="G90" s="23" t="s">
        <v>12</v>
      </c>
      <c r="H90" s="23" t="s">
        <v>14</v>
      </c>
      <c r="I90" s="23">
        <f>IFERROR(INDEX('التقسيم Layout'!$J$4:$J$9,MATCH(C90,'التقسيم Layout'!$B$4:$B$9,0)),"")</f>
        <v>175</v>
      </c>
    </row>
    <row r="91" spans="1:9" ht="17.25" thickTop="1" thickBot="1" x14ac:dyDescent="0.25">
      <c r="A91" s="23">
        <v>87</v>
      </c>
      <c r="B91" s="26" t="s">
        <v>149</v>
      </c>
      <c r="C91" s="27" t="s">
        <v>13</v>
      </c>
      <c r="D91" s="23" t="s">
        <v>17</v>
      </c>
      <c r="E91" s="23" t="s">
        <v>61</v>
      </c>
      <c r="F91" s="23">
        <v>18</v>
      </c>
      <c r="G91" s="23" t="s">
        <v>12</v>
      </c>
      <c r="H91" s="23" t="s">
        <v>14</v>
      </c>
      <c r="I91" s="23">
        <f>IFERROR(INDEX('التقسيم Layout'!$J$4:$J$9,MATCH(C91,'التقسيم Layout'!$B$4:$B$9,0)),"")</f>
        <v>175</v>
      </c>
    </row>
    <row r="92" spans="1:9" ht="17.25" thickTop="1" thickBot="1" x14ac:dyDescent="0.25">
      <c r="A92" s="23">
        <v>88</v>
      </c>
      <c r="B92" s="26" t="s">
        <v>150</v>
      </c>
      <c r="C92" s="27" t="s">
        <v>13</v>
      </c>
      <c r="D92" s="23" t="s">
        <v>20</v>
      </c>
      <c r="E92" s="23" t="s">
        <v>63</v>
      </c>
      <c r="F92" s="23">
        <v>18</v>
      </c>
      <c r="G92" s="23" t="s">
        <v>12</v>
      </c>
      <c r="H92" s="23" t="s">
        <v>14</v>
      </c>
      <c r="I92" s="23">
        <f>IFERROR(INDEX('التقسيم Layout'!$J$4:$J$9,MATCH(C92,'التقسيم Layout'!$B$4:$B$9,0)),"")</f>
        <v>175</v>
      </c>
    </row>
    <row r="93" spans="1:9" ht="17.25" thickTop="1" thickBot="1" x14ac:dyDescent="0.25">
      <c r="A93" s="23">
        <v>89</v>
      </c>
      <c r="B93" s="26" t="s">
        <v>151</v>
      </c>
      <c r="C93" s="27" t="s">
        <v>13</v>
      </c>
      <c r="D93" s="23" t="s">
        <v>22</v>
      </c>
      <c r="E93" s="23" t="s">
        <v>65</v>
      </c>
      <c r="F93" s="23">
        <v>18</v>
      </c>
      <c r="G93" s="23" t="s">
        <v>12</v>
      </c>
      <c r="H93" s="23" t="s">
        <v>14</v>
      </c>
      <c r="I93" s="23">
        <f>IFERROR(INDEX('التقسيم Layout'!$J$4:$J$9,MATCH(C93,'التقسيم Layout'!$B$4:$B$9,0)),"")</f>
        <v>175</v>
      </c>
    </row>
    <row r="94" spans="1:9" ht="17.25" thickTop="1" thickBot="1" x14ac:dyDescent="0.25">
      <c r="A94" s="23">
        <v>90</v>
      </c>
      <c r="B94" s="26" t="s">
        <v>152</v>
      </c>
      <c r="C94" s="27" t="s">
        <v>13</v>
      </c>
      <c r="D94" s="23" t="s">
        <v>26</v>
      </c>
      <c r="E94" s="23" t="s">
        <v>67</v>
      </c>
      <c r="F94" s="23">
        <v>18</v>
      </c>
      <c r="G94" s="23" t="s">
        <v>12</v>
      </c>
      <c r="H94" s="23" t="s">
        <v>14</v>
      </c>
      <c r="I94" s="23">
        <f>IFERROR(INDEX('التقسيم Layout'!$J$4:$J$9,MATCH(C94,'التقسيم Layout'!$B$4:$B$9,0)),"")</f>
        <v>175</v>
      </c>
    </row>
    <row r="95" spans="1:9" ht="17.25" thickTop="1" thickBot="1" x14ac:dyDescent="0.25">
      <c r="A95" s="23">
        <v>91</v>
      </c>
      <c r="B95" s="26" t="s">
        <v>617</v>
      </c>
      <c r="C95" s="27" t="s">
        <v>13</v>
      </c>
      <c r="D95" s="23" t="s">
        <v>13</v>
      </c>
      <c r="E95" s="23" t="s">
        <v>59</v>
      </c>
      <c r="F95" s="23">
        <v>19</v>
      </c>
      <c r="G95" s="23" t="s">
        <v>12</v>
      </c>
      <c r="H95" s="23" t="s">
        <v>14</v>
      </c>
      <c r="I95" s="23">
        <f>IFERROR(INDEX('التقسيم Layout'!$J$4:$J$9,MATCH(C95,'التقسيم Layout'!$B$4:$B$9,0)),"")</f>
        <v>175</v>
      </c>
    </row>
    <row r="96" spans="1:9" ht="17.25" thickTop="1" thickBot="1" x14ac:dyDescent="0.25">
      <c r="A96" s="23">
        <v>92</v>
      </c>
      <c r="B96" s="26" t="s">
        <v>618</v>
      </c>
      <c r="C96" s="27" t="s">
        <v>13</v>
      </c>
      <c r="D96" s="23" t="s">
        <v>17</v>
      </c>
      <c r="E96" s="23" t="s">
        <v>61</v>
      </c>
      <c r="F96" s="23">
        <v>19</v>
      </c>
      <c r="G96" s="23" t="s">
        <v>12</v>
      </c>
      <c r="H96" s="23" t="s">
        <v>14</v>
      </c>
      <c r="I96" s="23">
        <f>IFERROR(INDEX('التقسيم Layout'!$J$4:$J$9,MATCH(C96,'التقسيم Layout'!$B$4:$B$9,0)),"")</f>
        <v>175</v>
      </c>
    </row>
    <row r="97" spans="1:9" ht="17.25" thickTop="1" thickBot="1" x14ac:dyDescent="0.25">
      <c r="A97" s="23">
        <v>93</v>
      </c>
      <c r="B97" s="26" t="s">
        <v>619</v>
      </c>
      <c r="C97" s="27" t="s">
        <v>13</v>
      </c>
      <c r="D97" s="23" t="s">
        <v>20</v>
      </c>
      <c r="E97" s="23" t="s">
        <v>63</v>
      </c>
      <c r="F97" s="23">
        <v>19</v>
      </c>
      <c r="G97" s="23" t="s">
        <v>12</v>
      </c>
      <c r="H97" s="23" t="s">
        <v>14</v>
      </c>
      <c r="I97" s="23">
        <f>IFERROR(INDEX('التقسيم Layout'!$J$4:$J$9,MATCH(C97,'التقسيم Layout'!$B$4:$B$9,0)),"")</f>
        <v>175</v>
      </c>
    </row>
    <row r="98" spans="1:9" ht="17.25" thickTop="1" thickBot="1" x14ac:dyDescent="0.25">
      <c r="A98" s="23">
        <v>94</v>
      </c>
      <c r="B98" s="26" t="s">
        <v>620</v>
      </c>
      <c r="C98" s="27" t="s">
        <v>13</v>
      </c>
      <c r="D98" s="23" t="s">
        <v>22</v>
      </c>
      <c r="E98" s="23" t="s">
        <v>65</v>
      </c>
      <c r="F98" s="23">
        <v>19</v>
      </c>
      <c r="G98" s="23" t="s">
        <v>12</v>
      </c>
      <c r="H98" s="23" t="s">
        <v>14</v>
      </c>
      <c r="I98" s="23">
        <f>IFERROR(INDEX('التقسيم Layout'!$J$4:$J$9,MATCH(C98,'التقسيم Layout'!$B$4:$B$9,0)),"")</f>
        <v>175</v>
      </c>
    </row>
    <row r="99" spans="1:9" ht="17.25" thickTop="1" thickBot="1" x14ac:dyDescent="0.25">
      <c r="A99" s="23">
        <v>95</v>
      </c>
      <c r="B99" s="26" t="s">
        <v>621</v>
      </c>
      <c r="C99" s="27" t="s">
        <v>13</v>
      </c>
      <c r="D99" s="23" t="s">
        <v>26</v>
      </c>
      <c r="E99" s="23" t="s">
        <v>67</v>
      </c>
      <c r="F99" s="23">
        <v>19</v>
      </c>
      <c r="G99" s="23" t="s">
        <v>12</v>
      </c>
      <c r="H99" s="23" t="s">
        <v>14</v>
      </c>
      <c r="I99" s="23">
        <f>IFERROR(INDEX('التقسيم Layout'!$J$4:$J$9,MATCH(C99,'التقسيم Layout'!$B$4:$B$9,0)),"")</f>
        <v>175</v>
      </c>
    </row>
    <row r="100" spans="1:9" ht="17.25" thickTop="1" thickBot="1" x14ac:dyDescent="0.25">
      <c r="A100" s="23">
        <v>96</v>
      </c>
      <c r="B100" s="26" t="s">
        <v>153</v>
      </c>
      <c r="C100" s="28" t="s">
        <v>17</v>
      </c>
      <c r="D100" s="23" t="s">
        <v>13</v>
      </c>
      <c r="E100" s="23" t="s">
        <v>59</v>
      </c>
      <c r="F100" s="23">
        <v>1</v>
      </c>
      <c r="G100" s="23" t="s">
        <v>12</v>
      </c>
      <c r="H100" s="23" t="s">
        <v>14</v>
      </c>
      <c r="I100" s="23">
        <f>IFERROR(INDEX('التقسيم Layout'!$J$4:$J$9,MATCH(C100,'التقسيم Layout'!$B$4:$B$9,0)),"")</f>
        <v>175</v>
      </c>
    </row>
    <row r="101" spans="1:9" ht="17.25" thickTop="1" thickBot="1" x14ac:dyDescent="0.25">
      <c r="A101" s="23">
        <v>97</v>
      </c>
      <c r="B101" s="26" t="s">
        <v>154</v>
      </c>
      <c r="C101" s="28" t="s">
        <v>17</v>
      </c>
      <c r="D101" s="23" t="s">
        <v>17</v>
      </c>
      <c r="E101" s="23" t="s">
        <v>61</v>
      </c>
      <c r="F101" s="23">
        <v>1</v>
      </c>
      <c r="G101" s="23" t="s">
        <v>12</v>
      </c>
      <c r="H101" s="23" t="s">
        <v>14</v>
      </c>
      <c r="I101" s="23">
        <f>IFERROR(INDEX('التقسيم Layout'!$J$4:$J$9,MATCH(C101,'التقسيم Layout'!$B$4:$B$9,0)),"")</f>
        <v>175</v>
      </c>
    </row>
    <row r="102" spans="1:9" ht="17.25" thickTop="1" thickBot="1" x14ac:dyDescent="0.25">
      <c r="A102" s="23">
        <v>98</v>
      </c>
      <c r="B102" s="26" t="s">
        <v>155</v>
      </c>
      <c r="C102" s="28" t="s">
        <v>17</v>
      </c>
      <c r="D102" s="23" t="s">
        <v>20</v>
      </c>
      <c r="E102" s="23" t="s">
        <v>63</v>
      </c>
      <c r="F102" s="23">
        <v>1</v>
      </c>
      <c r="G102" s="23" t="s">
        <v>12</v>
      </c>
      <c r="H102" s="23" t="s">
        <v>14</v>
      </c>
      <c r="I102" s="23">
        <f>IFERROR(INDEX('التقسيم Layout'!$J$4:$J$9,MATCH(C102,'التقسيم Layout'!$B$4:$B$9,0)),"")</f>
        <v>175</v>
      </c>
    </row>
    <row r="103" spans="1:9" ht="17.25" thickTop="1" thickBot="1" x14ac:dyDescent="0.25">
      <c r="A103" s="23">
        <v>99</v>
      </c>
      <c r="B103" s="26" t="s">
        <v>156</v>
      </c>
      <c r="C103" s="28" t="s">
        <v>17</v>
      </c>
      <c r="D103" s="23" t="s">
        <v>22</v>
      </c>
      <c r="E103" s="23" t="s">
        <v>65</v>
      </c>
      <c r="F103" s="23">
        <v>1</v>
      </c>
      <c r="G103" s="23" t="s">
        <v>12</v>
      </c>
      <c r="H103" s="23" t="s">
        <v>14</v>
      </c>
      <c r="I103" s="23">
        <f>IFERROR(INDEX('التقسيم Layout'!$J$4:$J$9,MATCH(C103,'التقسيم Layout'!$B$4:$B$9,0)),"")</f>
        <v>175</v>
      </c>
    </row>
    <row r="104" spans="1:9" ht="17.25" thickTop="1" thickBot="1" x14ac:dyDescent="0.25">
      <c r="A104" s="23">
        <v>100</v>
      </c>
      <c r="B104" s="26" t="s">
        <v>157</v>
      </c>
      <c r="C104" s="28" t="s">
        <v>17</v>
      </c>
      <c r="D104" s="23" t="s">
        <v>26</v>
      </c>
      <c r="E104" s="23" t="s">
        <v>67</v>
      </c>
      <c r="F104" s="23">
        <v>1</v>
      </c>
      <c r="G104" s="23" t="s">
        <v>12</v>
      </c>
      <c r="H104" s="23" t="s">
        <v>14</v>
      </c>
      <c r="I104" s="23">
        <f>IFERROR(INDEX('التقسيم Layout'!$J$4:$J$9,MATCH(C104,'التقسيم Layout'!$B$4:$B$9,0)),"")</f>
        <v>175</v>
      </c>
    </row>
    <row r="105" spans="1:9" ht="17.25" thickTop="1" thickBot="1" x14ac:dyDescent="0.25">
      <c r="A105" s="23">
        <v>101</v>
      </c>
      <c r="B105" s="26" t="s">
        <v>158</v>
      </c>
      <c r="C105" s="28" t="s">
        <v>17</v>
      </c>
      <c r="D105" s="23" t="s">
        <v>13</v>
      </c>
      <c r="E105" s="23" t="s">
        <v>59</v>
      </c>
      <c r="F105" s="23">
        <v>2</v>
      </c>
      <c r="G105" s="23" t="s">
        <v>12</v>
      </c>
      <c r="H105" s="23" t="s">
        <v>14</v>
      </c>
      <c r="I105" s="23">
        <f>IFERROR(INDEX('التقسيم Layout'!$J$4:$J$9,MATCH(C105,'التقسيم Layout'!$B$4:$B$9,0)),"")</f>
        <v>175</v>
      </c>
    </row>
    <row r="106" spans="1:9" ht="17.25" thickTop="1" thickBot="1" x14ac:dyDescent="0.25">
      <c r="A106" s="23">
        <v>102</v>
      </c>
      <c r="B106" s="26" t="s">
        <v>159</v>
      </c>
      <c r="C106" s="28" t="s">
        <v>17</v>
      </c>
      <c r="D106" s="23" t="s">
        <v>17</v>
      </c>
      <c r="E106" s="23" t="s">
        <v>61</v>
      </c>
      <c r="F106" s="23">
        <v>2</v>
      </c>
      <c r="G106" s="23" t="s">
        <v>12</v>
      </c>
      <c r="H106" s="23" t="s">
        <v>14</v>
      </c>
      <c r="I106" s="23">
        <f>IFERROR(INDEX('التقسيم Layout'!$J$4:$J$9,MATCH(C106,'التقسيم Layout'!$B$4:$B$9,0)),"")</f>
        <v>175</v>
      </c>
    </row>
    <row r="107" spans="1:9" ht="17.25" thickTop="1" thickBot="1" x14ac:dyDescent="0.25">
      <c r="A107" s="23">
        <v>103</v>
      </c>
      <c r="B107" s="26" t="s">
        <v>160</v>
      </c>
      <c r="C107" s="28" t="s">
        <v>17</v>
      </c>
      <c r="D107" s="23" t="s">
        <v>20</v>
      </c>
      <c r="E107" s="23" t="s">
        <v>63</v>
      </c>
      <c r="F107" s="23">
        <v>2</v>
      </c>
      <c r="G107" s="23" t="s">
        <v>12</v>
      </c>
      <c r="H107" s="23" t="s">
        <v>14</v>
      </c>
      <c r="I107" s="23">
        <f>IFERROR(INDEX('التقسيم Layout'!$J$4:$J$9,MATCH(C107,'التقسيم Layout'!$B$4:$B$9,0)),"")</f>
        <v>175</v>
      </c>
    </row>
    <row r="108" spans="1:9" ht="17.25" thickTop="1" thickBot="1" x14ac:dyDescent="0.25">
      <c r="A108" s="23">
        <v>104</v>
      </c>
      <c r="B108" s="26" t="s">
        <v>161</v>
      </c>
      <c r="C108" s="28" t="s">
        <v>17</v>
      </c>
      <c r="D108" s="23" t="s">
        <v>22</v>
      </c>
      <c r="E108" s="23" t="s">
        <v>65</v>
      </c>
      <c r="F108" s="23">
        <v>2</v>
      </c>
      <c r="G108" s="23" t="s">
        <v>12</v>
      </c>
      <c r="H108" s="23" t="s">
        <v>14</v>
      </c>
      <c r="I108" s="23">
        <f>IFERROR(INDEX('التقسيم Layout'!$J$4:$J$9,MATCH(C108,'التقسيم Layout'!$B$4:$B$9,0)),"")</f>
        <v>175</v>
      </c>
    </row>
    <row r="109" spans="1:9" ht="17.25" thickTop="1" thickBot="1" x14ac:dyDescent="0.25">
      <c r="A109" s="23">
        <v>105</v>
      </c>
      <c r="B109" s="26" t="s">
        <v>162</v>
      </c>
      <c r="C109" s="28" t="s">
        <v>17</v>
      </c>
      <c r="D109" s="23" t="s">
        <v>26</v>
      </c>
      <c r="E109" s="23" t="s">
        <v>67</v>
      </c>
      <c r="F109" s="23">
        <v>2</v>
      </c>
      <c r="G109" s="23" t="s">
        <v>12</v>
      </c>
      <c r="H109" s="23" t="s">
        <v>14</v>
      </c>
      <c r="I109" s="23">
        <f>IFERROR(INDEX('التقسيم Layout'!$J$4:$J$9,MATCH(C109,'التقسيم Layout'!$B$4:$B$9,0)),"")</f>
        <v>175</v>
      </c>
    </row>
    <row r="110" spans="1:9" ht="17.25" thickTop="1" thickBot="1" x14ac:dyDescent="0.25">
      <c r="A110" s="23">
        <v>106</v>
      </c>
      <c r="B110" s="26" t="s">
        <v>163</v>
      </c>
      <c r="C110" s="28" t="s">
        <v>17</v>
      </c>
      <c r="D110" s="23" t="s">
        <v>13</v>
      </c>
      <c r="E110" s="23" t="s">
        <v>59</v>
      </c>
      <c r="F110" s="23">
        <v>3</v>
      </c>
      <c r="G110" s="23" t="s">
        <v>12</v>
      </c>
      <c r="H110" s="23" t="s">
        <v>14</v>
      </c>
      <c r="I110" s="23">
        <f>IFERROR(INDEX('التقسيم Layout'!$J$4:$J$9,MATCH(C110,'التقسيم Layout'!$B$4:$B$9,0)),"")</f>
        <v>175</v>
      </c>
    </row>
    <row r="111" spans="1:9" ht="17.25" thickTop="1" thickBot="1" x14ac:dyDescent="0.25">
      <c r="A111" s="23">
        <v>107</v>
      </c>
      <c r="B111" s="26" t="s">
        <v>164</v>
      </c>
      <c r="C111" s="28" t="s">
        <v>17</v>
      </c>
      <c r="D111" s="23" t="s">
        <v>17</v>
      </c>
      <c r="E111" s="23" t="s">
        <v>61</v>
      </c>
      <c r="F111" s="23">
        <v>3</v>
      </c>
      <c r="G111" s="23" t="s">
        <v>12</v>
      </c>
      <c r="H111" s="23" t="s">
        <v>14</v>
      </c>
      <c r="I111" s="23">
        <f>IFERROR(INDEX('التقسيم Layout'!$J$4:$J$9,MATCH(C111,'التقسيم Layout'!$B$4:$B$9,0)),"")</f>
        <v>175</v>
      </c>
    </row>
    <row r="112" spans="1:9" ht="17.25" thickTop="1" thickBot="1" x14ac:dyDescent="0.25">
      <c r="A112" s="23">
        <v>108</v>
      </c>
      <c r="B112" s="26" t="s">
        <v>165</v>
      </c>
      <c r="C112" s="28" t="s">
        <v>17</v>
      </c>
      <c r="D112" s="23" t="s">
        <v>20</v>
      </c>
      <c r="E112" s="23" t="s">
        <v>63</v>
      </c>
      <c r="F112" s="23">
        <v>3</v>
      </c>
      <c r="G112" s="23" t="s">
        <v>12</v>
      </c>
      <c r="H112" s="23" t="s">
        <v>14</v>
      </c>
      <c r="I112" s="23">
        <f>IFERROR(INDEX('التقسيم Layout'!$J$4:$J$9,MATCH(C112,'التقسيم Layout'!$B$4:$B$9,0)),"")</f>
        <v>175</v>
      </c>
    </row>
    <row r="113" spans="1:9" ht="17.25" thickTop="1" thickBot="1" x14ac:dyDescent="0.25">
      <c r="A113" s="23">
        <v>109</v>
      </c>
      <c r="B113" s="26" t="s">
        <v>166</v>
      </c>
      <c r="C113" s="28" t="s">
        <v>17</v>
      </c>
      <c r="D113" s="23" t="s">
        <v>22</v>
      </c>
      <c r="E113" s="23" t="s">
        <v>65</v>
      </c>
      <c r="F113" s="23">
        <v>3</v>
      </c>
      <c r="G113" s="23" t="s">
        <v>12</v>
      </c>
      <c r="H113" s="23" t="s">
        <v>14</v>
      </c>
      <c r="I113" s="23">
        <f>IFERROR(INDEX('التقسيم Layout'!$J$4:$J$9,MATCH(C113,'التقسيم Layout'!$B$4:$B$9,0)),"")</f>
        <v>175</v>
      </c>
    </row>
    <row r="114" spans="1:9" ht="17.25" thickTop="1" thickBot="1" x14ac:dyDescent="0.25">
      <c r="A114" s="23">
        <v>110</v>
      </c>
      <c r="B114" s="26" t="s">
        <v>167</v>
      </c>
      <c r="C114" s="28" t="s">
        <v>17</v>
      </c>
      <c r="D114" s="23" t="s">
        <v>26</v>
      </c>
      <c r="E114" s="23" t="s">
        <v>67</v>
      </c>
      <c r="F114" s="23">
        <v>3</v>
      </c>
      <c r="G114" s="23" t="s">
        <v>12</v>
      </c>
      <c r="H114" s="23" t="s">
        <v>14</v>
      </c>
      <c r="I114" s="23">
        <f>IFERROR(INDEX('التقسيم Layout'!$J$4:$J$9,MATCH(C114,'التقسيم Layout'!$B$4:$B$9,0)),"")</f>
        <v>175</v>
      </c>
    </row>
    <row r="115" spans="1:9" ht="17.25" thickTop="1" thickBot="1" x14ac:dyDescent="0.25">
      <c r="A115" s="23">
        <v>111</v>
      </c>
      <c r="B115" s="26" t="s">
        <v>168</v>
      </c>
      <c r="C115" s="28" t="s">
        <v>17</v>
      </c>
      <c r="D115" s="23" t="s">
        <v>13</v>
      </c>
      <c r="E115" s="23" t="s">
        <v>59</v>
      </c>
      <c r="F115" s="23">
        <v>4</v>
      </c>
      <c r="G115" s="23" t="s">
        <v>12</v>
      </c>
      <c r="H115" s="23" t="s">
        <v>14</v>
      </c>
      <c r="I115" s="23">
        <f>IFERROR(INDEX('التقسيم Layout'!$J$4:$J$9,MATCH(C115,'التقسيم Layout'!$B$4:$B$9,0)),"")</f>
        <v>175</v>
      </c>
    </row>
    <row r="116" spans="1:9" ht="17.25" thickTop="1" thickBot="1" x14ac:dyDescent="0.25">
      <c r="A116" s="23">
        <v>112</v>
      </c>
      <c r="B116" s="26" t="s">
        <v>169</v>
      </c>
      <c r="C116" s="28" t="s">
        <v>17</v>
      </c>
      <c r="D116" s="23" t="s">
        <v>17</v>
      </c>
      <c r="E116" s="23" t="s">
        <v>61</v>
      </c>
      <c r="F116" s="23">
        <v>4</v>
      </c>
      <c r="G116" s="23" t="s">
        <v>12</v>
      </c>
      <c r="H116" s="23" t="s">
        <v>14</v>
      </c>
      <c r="I116" s="23">
        <f>IFERROR(INDEX('التقسيم Layout'!$J$4:$J$9,MATCH(C116,'التقسيم Layout'!$B$4:$B$9,0)),"")</f>
        <v>175</v>
      </c>
    </row>
    <row r="117" spans="1:9" ht="17.25" thickTop="1" thickBot="1" x14ac:dyDescent="0.25">
      <c r="A117" s="23">
        <v>113</v>
      </c>
      <c r="B117" s="26" t="s">
        <v>170</v>
      </c>
      <c r="C117" s="28" t="s">
        <v>17</v>
      </c>
      <c r="D117" s="23" t="s">
        <v>20</v>
      </c>
      <c r="E117" s="23" t="s">
        <v>63</v>
      </c>
      <c r="F117" s="23">
        <v>4</v>
      </c>
      <c r="G117" s="23" t="s">
        <v>12</v>
      </c>
      <c r="H117" s="23" t="s">
        <v>14</v>
      </c>
      <c r="I117" s="23">
        <f>IFERROR(INDEX('التقسيم Layout'!$J$4:$J$9,MATCH(C117,'التقسيم Layout'!$B$4:$B$9,0)),"")</f>
        <v>175</v>
      </c>
    </row>
    <row r="118" spans="1:9" ht="17.25" thickTop="1" thickBot="1" x14ac:dyDescent="0.25">
      <c r="A118" s="23">
        <v>114</v>
      </c>
      <c r="B118" s="26" t="s">
        <v>171</v>
      </c>
      <c r="C118" s="28" t="s">
        <v>17</v>
      </c>
      <c r="D118" s="23" t="s">
        <v>22</v>
      </c>
      <c r="E118" s="23" t="s">
        <v>65</v>
      </c>
      <c r="F118" s="23">
        <v>4</v>
      </c>
      <c r="G118" s="23" t="s">
        <v>12</v>
      </c>
      <c r="H118" s="23" t="s">
        <v>14</v>
      </c>
      <c r="I118" s="23">
        <f>IFERROR(INDEX('التقسيم Layout'!$J$4:$J$9,MATCH(C118,'التقسيم Layout'!$B$4:$B$9,0)),"")</f>
        <v>175</v>
      </c>
    </row>
    <row r="119" spans="1:9" ht="17.25" thickTop="1" thickBot="1" x14ac:dyDescent="0.25">
      <c r="A119" s="23">
        <v>115</v>
      </c>
      <c r="B119" s="26" t="s">
        <v>172</v>
      </c>
      <c r="C119" s="28" t="s">
        <v>17</v>
      </c>
      <c r="D119" s="23" t="s">
        <v>26</v>
      </c>
      <c r="E119" s="23" t="s">
        <v>67</v>
      </c>
      <c r="F119" s="23">
        <v>4</v>
      </c>
      <c r="G119" s="23" t="s">
        <v>12</v>
      </c>
      <c r="H119" s="23" t="s">
        <v>14</v>
      </c>
      <c r="I119" s="23">
        <f>IFERROR(INDEX('التقسيم Layout'!$J$4:$J$9,MATCH(C119,'التقسيم Layout'!$B$4:$B$9,0)),"")</f>
        <v>175</v>
      </c>
    </row>
    <row r="120" spans="1:9" ht="17.25" thickTop="1" thickBot="1" x14ac:dyDescent="0.25">
      <c r="A120" s="23">
        <v>116</v>
      </c>
      <c r="B120" s="26" t="s">
        <v>173</v>
      </c>
      <c r="C120" s="28" t="s">
        <v>17</v>
      </c>
      <c r="D120" s="23" t="s">
        <v>13</v>
      </c>
      <c r="E120" s="23" t="s">
        <v>59</v>
      </c>
      <c r="F120" s="23">
        <v>5</v>
      </c>
      <c r="G120" s="23" t="s">
        <v>12</v>
      </c>
      <c r="H120" s="23" t="s">
        <v>14</v>
      </c>
      <c r="I120" s="23">
        <f>IFERROR(INDEX('التقسيم Layout'!$J$4:$J$9,MATCH(C120,'التقسيم Layout'!$B$4:$B$9,0)),"")</f>
        <v>175</v>
      </c>
    </row>
    <row r="121" spans="1:9" ht="17.25" thickTop="1" thickBot="1" x14ac:dyDescent="0.25">
      <c r="A121" s="23">
        <v>117</v>
      </c>
      <c r="B121" s="26" t="s">
        <v>174</v>
      </c>
      <c r="C121" s="28" t="s">
        <v>17</v>
      </c>
      <c r="D121" s="23" t="s">
        <v>17</v>
      </c>
      <c r="E121" s="23" t="s">
        <v>61</v>
      </c>
      <c r="F121" s="23">
        <v>5</v>
      </c>
      <c r="G121" s="23" t="s">
        <v>12</v>
      </c>
      <c r="H121" s="23" t="s">
        <v>14</v>
      </c>
      <c r="I121" s="23">
        <f>IFERROR(INDEX('التقسيم Layout'!$J$4:$J$9,MATCH(C121,'التقسيم Layout'!$B$4:$B$9,0)),"")</f>
        <v>175</v>
      </c>
    </row>
    <row r="122" spans="1:9" ht="17.25" thickTop="1" thickBot="1" x14ac:dyDescent="0.25">
      <c r="A122" s="23">
        <v>118</v>
      </c>
      <c r="B122" s="26" t="s">
        <v>175</v>
      </c>
      <c r="C122" s="28" t="s">
        <v>17</v>
      </c>
      <c r="D122" s="23" t="s">
        <v>20</v>
      </c>
      <c r="E122" s="23" t="s">
        <v>63</v>
      </c>
      <c r="F122" s="23">
        <v>5</v>
      </c>
      <c r="G122" s="23" t="s">
        <v>12</v>
      </c>
      <c r="H122" s="23" t="s">
        <v>14</v>
      </c>
      <c r="I122" s="23">
        <f>IFERROR(INDEX('التقسيم Layout'!$J$4:$J$9,MATCH(C122,'التقسيم Layout'!$B$4:$B$9,0)),"")</f>
        <v>175</v>
      </c>
    </row>
    <row r="123" spans="1:9" ht="17.25" thickTop="1" thickBot="1" x14ac:dyDescent="0.25">
      <c r="A123" s="23">
        <v>119</v>
      </c>
      <c r="B123" s="26" t="s">
        <v>176</v>
      </c>
      <c r="C123" s="28" t="s">
        <v>17</v>
      </c>
      <c r="D123" s="23" t="s">
        <v>22</v>
      </c>
      <c r="E123" s="23" t="s">
        <v>65</v>
      </c>
      <c r="F123" s="23">
        <v>5</v>
      </c>
      <c r="G123" s="23" t="s">
        <v>12</v>
      </c>
      <c r="H123" s="23" t="s">
        <v>14</v>
      </c>
      <c r="I123" s="23">
        <f>IFERROR(INDEX('التقسيم Layout'!$J$4:$J$9,MATCH(C123,'التقسيم Layout'!$B$4:$B$9,0)),"")</f>
        <v>175</v>
      </c>
    </row>
    <row r="124" spans="1:9" ht="17.25" thickTop="1" thickBot="1" x14ac:dyDescent="0.25">
      <c r="A124" s="23">
        <v>120</v>
      </c>
      <c r="B124" s="26" t="s">
        <v>177</v>
      </c>
      <c r="C124" s="28" t="s">
        <v>17</v>
      </c>
      <c r="D124" s="23" t="s">
        <v>26</v>
      </c>
      <c r="E124" s="23" t="s">
        <v>67</v>
      </c>
      <c r="F124" s="23">
        <v>5</v>
      </c>
      <c r="G124" s="23" t="s">
        <v>12</v>
      </c>
      <c r="H124" s="23" t="s">
        <v>14</v>
      </c>
      <c r="I124" s="23">
        <f>IFERROR(INDEX('التقسيم Layout'!$J$4:$J$9,MATCH(C124,'التقسيم Layout'!$B$4:$B$9,0)),"")</f>
        <v>175</v>
      </c>
    </row>
    <row r="125" spans="1:9" ht="17.25" thickTop="1" thickBot="1" x14ac:dyDescent="0.25">
      <c r="A125" s="23">
        <v>121</v>
      </c>
      <c r="B125" s="26" t="s">
        <v>178</v>
      </c>
      <c r="C125" s="28" t="s">
        <v>17</v>
      </c>
      <c r="D125" s="23" t="s">
        <v>13</v>
      </c>
      <c r="E125" s="23" t="s">
        <v>59</v>
      </c>
      <c r="F125" s="23">
        <v>6</v>
      </c>
      <c r="G125" s="23" t="s">
        <v>12</v>
      </c>
      <c r="H125" s="23" t="s">
        <v>14</v>
      </c>
      <c r="I125" s="23">
        <f>IFERROR(INDEX('التقسيم Layout'!$J$4:$J$9,MATCH(C125,'التقسيم Layout'!$B$4:$B$9,0)),"")</f>
        <v>175</v>
      </c>
    </row>
    <row r="126" spans="1:9" ht="17.25" thickTop="1" thickBot="1" x14ac:dyDescent="0.25">
      <c r="A126" s="23">
        <v>122</v>
      </c>
      <c r="B126" s="26" t="s">
        <v>179</v>
      </c>
      <c r="C126" s="28" t="s">
        <v>17</v>
      </c>
      <c r="D126" s="23" t="s">
        <v>17</v>
      </c>
      <c r="E126" s="23" t="s">
        <v>61</v>
      </c>
      <c r="F126" s="23">
        <v>6</v>
      </c>
      <c r="G126" s="23" t="s">
        <v>12</v>
      </c>
      <c r="H126" s="23" t="s">
        <v>14</v>
      </c>
      <c r="I126" s="23">
        <f>IFERROR(INDEX('التقسيم Layout'!$J$4:$J$9,MATCH(C126,'التقسيم Layout'!$B$4:$B$9,0)),"")</f>
        <v>175</v>
      </c>
    </row>
    <row r="127" spans="1:9" ht="17.25" thickTop="1" thickBot="1" x14ac:dyDescent="0.25">
      <c r="A127" s="23">
        <v>123</v>
      </c>
      <c r="B127" s="26" t="s">
        <v>180</v>
      </c>
      <c r="C127" s="28" t="s">
        <v>17</v>
      </c>
      <c r="D127" s="23" t="s">
        <v>20</v>
      </c>
      <c r="E127" s="23" t="s">
        <v>63</v>
      </c>
      <c r="F127" s="23">
        <v>6</v>
      </c>
      <c r="G127" s="23" t="s">
        <v>12</v>
      </c>
      <c r="H127" s="23" t="s">
        <v>14</v>
      </c>
      <c r="I127" s="23">
        <f>IFERROR(INDEX('التقسيم Layout'!$J$4:$J$9,MATCH(C127,'التقسيم Layout'!$B$4:$B$9,0)),"")</f>
        <v>175</v>
      </c>
    </row>
    <row r="128" spans="1:9" ht="17.25" thickTop="1" thickBot="1" x14ac:dyDescent="0.25">
      <c r="A128" s="23">
        <v>124</v>
      </c>
      <c r="B128" s="26" t="s">
        <v>181</v>
      </c>
      <c r="C128" s="28" t="s">
        <v>17</v>
      </c>
      <c r="D128" s="23" t="s">
        <v>22</v>
      </c>
      <c r="E128" s="23" t="s">
        <v>65</v>
      </c>
      <c r="F128" s="23">
        <v>6</v>
      </c>
      <c r="G128" s="23" t="s">
        <v>12</v>
      </c>
      <c r="H128" s="23" t="s">
        <v>14</v>
      </c>
      <c r="I128" s="23">
        <f>IFERROR(INDEX('التقسيم Layout'!$J$4:$J$9,MATCH(C128,'التقسيم Layout'!$B$4:$B$9,0)),"")</f>
        <v>175</v>
      </c>
    </row>
    <row r="129" spans="1:9" ht="17.25" thickTop="1" thickBot="1" x14ac:dyDescent="0.25">
      <c r="A129" s="23">
        <v>125</v>
      </c>
      <c r="B129" s="26" t="s">
        <v>182</v>
      </c>
      <c r="C129" s="28" t="s">
        <v>17</v>
      </c>
      <c r="D129" s="23" t="s">
        <v>26</v>
      </c>
      <c r="E129" s="23" t="s">
        <v>67</v>
      </c>
      <c r="F129" s="23">
        <v>6</v>
      </c>
      <c r="G129" s="23" t="s">
        <v>12</v>
      </c>
      <c r="H129" s="23" t="s">
        <v>14</v>
      </c>
      <c r="I129" s="23">
        <f>IFERROR(INDEX('التقسيم Layout'!$J$4:$J$9,MATCH(C129,'التقسيم Layout'!$B$4:$B$9,0)),"")</f>
        <v>175</v>
      </c>
    </row>
    <row r="130" spans="1:9" ht="17.25" thickTop="1" thickBot="1" x14ac:dyDescent="0.25">
      <c r="A130" s="23">
        <v>126</v>
      </c>
      <c r="B130" s="26" t="s">
        <v>183</v>
      </c>
      <c r="C130" s="28" t="s">
        <v>17</v>
      </c>
      <c r="D130" s="23" t="s">
        <v>13</v>
      </c>
      <c r="E130" s="23" t="s">
        <v>59</v>
      </c>
      <c r="F130" s="23">
        <v>7</v>
      </c>
      <c r="G130" s="23" t="s">
        <v>12</v>
      </c>
      <c r="H130" s="23" t="s">
        <v>14</v>
      </c>
      <c r="I130" s="23">
        <f>IFERROR(INDEX('التقسيم Layout'!$J$4:$J$9,MATCH(C130,'التقسيم Layout'!$B$4:$B$9,0)),"")</f>
        <v>175</v>
      </c>
    </row>
    <row r="131" spans="1:9" ht="17.25" thickTop="1" thickBot="1" x14ac:dyDescent="0.25">
      <c r="A131" s="23">
        <v>127</v>
      </c>
      <c r="B131" s="26" t="s">
        <v>184</v>
      </c>
      <c r="C131" s="28" t="s">
        <v>17</v>
      </c>
      <c r="D131" s="23" t="s">
        <v>17</v>
      </c>
      <c r="E131" s="23" t="s">
        <v>61</v>
      </c>
      <c r="F131" s="23">
        <v>7</v>
      </c>
      <c r="G131" s="23" t="s">
        <v>12</v>
      </c>
      <c r="H131" s="23" t="s">
        <v>14</v>
      </c>
      <c r="I131" s="23">
        <f>IFERROR(INDEX('التقسيم Layout'!$J$4:$J$9,MATCH(C131,'التقسيم Layout'!$B$4:$B$9,0)),"")</f>
        <v>175</v>
      </c>
    </row>
    <row r="132" spans="1:9" ht="17.25" thickTop="1" thickBot="1" x14ac:dyDescent="0.25">
      <c r="A132" s="23">
        <v>128</v>
      </c>
      <c r="B132" s="26" t="s">
        <v>185</v>
      </c>
      <c r="C132" s="28" t="s">
        <v>17</v>
      </c>
      <c r="D132" s="23" t="s">
        <v>20</v>
      </c>
      <c r="E132" s="23" t="s">
        <v>63</v>
      </c>
      <c r="F132" s="23">
        <v>7</v>
      </c>
      <c r="G132" s="23" t="s">
        <v>12</v>
      </c>
      <c r="H132" s="23" t="s">
        <v>14</v>
      </c>
      <c r="I132" s="23">
        <f>IFERROR(INDEX('التقسيم Layout'!$J$4:$J$9,MATCH(C132,'التقسيم Layout'!$B$4:$B$9,0)),"")</f>
        <v>175</v>
      </c>
    </row>
    <row r="133" spans="1:9" ht="17.25" thickTop="1" thickBot="1" x14ac:dyDescent="0.25">
      <c r="A133" s="23">
        <v>129</v>
      </c>
      <c r="B133" s="26" t="s">
        <v>186</v>
      </c>
      <c r="C133" s="28" t="s">
        <v>17</v>
      </c>
      <c r="D133" s="23" t="s">
        <v>22</v>
      </c>
      <c r="E133" s="23" t="s">
        <v>65</v>
      </c>
      <c r="F133" s="23">
        <v>7</v>
      </c>
      <c r="G133" s="23" t="s">
        <v>12</v>
      </c>
      <c r="H133" s="23" t="s">
        <v>14</v>
      </c>
      <c r="I133" s="23">
        <f>IFERROR(INDEX('التقسيم Layout'!$J$4:$J$9,MATCH(C133,'التقسيم Layout'!$B$4:$B$9,0)),"")</f>
        <v>175</v>
      </c>
    </row>
    <row r="134" spans="1:9" ht="17.25" thickTop="1" thickBot="1" x14ac:dyDescent="0.25">
      <c r="A134" s="23">
        <v>130</v>
      </c>
      <c r="B134" s="26" t="s">
        <v>187</v>
      </c>
      <c r="C134" s="28" t="s">
        <v>17</v>
      </c>
      <c r="D134" s="23" t="s">
        <v>26</v>
      </c>
      <c r="E134" s="23" t="s">
        <v>67</v>
      </c>
      <c r="F134" s="23">
        <v>7</v>
      </c>
      <c r="G134" s="23" t="s">
        <v>12</v>
      </c>
      <c r="H134" s="23" t="s">
        <v>14</v>
      </c>
      <c r="I134" s="23">
        <f>IFERROR(INDEX('التقسيم Layout'!$J$4:$J$9,MATCH(C134,'التقسيم Layout'!$B$4:$B$9,0)),"")</f>
        <v>175</v>
      </c>
    </row>
    <row r="135" spans="1:9" ht="17.25" thickTop="1" thickBot="1" x14ac:dyDescent="0.25">
      <c r="A135" s="23">
        <v>131</v>
      </c>
      <c r="B135" s="26" t="s">
        <v>188</v>
      </c>
      <c r="C135" s="28" t="s">
        <v>17</v>
      </c>
      <c r="D135" s="23" t="s">
        <v>13</v>
      </c>
      <c r="E135" s="23" t="s">
        <v>59</v>
      </c>
      <c r="F135" s="23">
        <v>8</v>
      </c>
      <c r="G135" s="23" t="s">
        <v>12</v>
      </c>
      <c r="H135" s="23" t="s">
        <v>14</v>
      </c>
      <c r="I135" s="23">
        <f>IFERROR(INDEX('التقسيم Layout'!$J$4:$J$9,MATCH(C135,'التقسيم Layout'!$B$4:$B$9,0)),"")</f>
        <v>175</v>
      </c>
    </row>
    <row r="136" spans="1:9" ht="17.25" thickTop="1" thickBot="1" x14ac:dyDescent="0.25">
      <c r="A136" s="23">
        <v>132</v>
      </c>
      <c r="B136" s="26" t="s">
        <v>189</v>
      </c>
      <c r="C136" s="28" t="s">
        <v>17</v>
      </c>
      <c r="D136" s="23" t="s">
        <v>17</v>
      </c>
      <c r="E136" s="23" t="s">
        <v>61</v>
      </c>
      <c r="F136" s="23">
        <v>8</v>
      </c>
      <c r="G136" s="23" t="s">
        <v>12</v>
      </c>
      <c r="H136" s="23" t="s">
        <v>14</v>
      </c>
      <c r="I136" s="23">
        <f>IFERROR(INDEX('التقسيم Layout'!$J$4:$J$9,MATCH(C136,'التقسيم Layout'!$B$4:$B$9,0)),"")</f>
        <v>175</v>
      </c>
    </row>
    <row r="137" spans="1:9" ht="17.25" thickTop="1" thickBot="1" x14ac:dyDescent="0.25">
      <c r="A137" s="23">
        <v>133</v>
      </c>
      <c r="B137" s="26" t="s">
        <v>190</v>
      </c>
      <c r="C137" s="28" t="s">
        <v>17</v>
      </c>
      <c r="D137" s="23" t="s">
        <v>20</v>
      </c>
      <c r="E137" s="23" t="s">
        <v>63</v>
      </c>
      <c r="F137" s="23">
        <v>8</v>
      </c>
      <c r="G137" s="23" t="s">
        <v>12</v>
      </c>
      <c r="H137" s="23" t="s">
        <v>14</v>
      </c>
      <c r="I137" s="23">
        <f>IFERROR(INDEX('التقسيم Layout'!$J$4:$J$9,MATCH(C137,'التقسيم Layout'!$B$4:$B$9,0)),"")</f>
        <v>175</v>
      </c>
    </row>
    <row r="138" spans="1:9" ht="17.25" thickTop="1" thickBot="1" x14ac:dyDescent="0.25">
      <c r="A138" s="23">
        <v>134</v>
      </c>
      <c r="B138" s="26" t="s">
        <v>191</v>
      </c>
      <c r="C138" s="28" t="s">
        <v>17</v>
      </c>
      <c r="D138" s="23" t="s">
        <v>22</v>
      </c>
      <c r="E138" s="23" t="s">
        <v>65</v>
      </c>
      <c r="F138" s="23">
        <v>8</v>
      </c>
      <c r="G138" s="23" t="s">
        <v>12</v>
      </c>
      <c r="H138" s="23" t="s">
        <v>14</v>
      </c>
      <c r="I138" s="23">
        <f>IFERROR(INDEX('التقسيم Layout'!$J$4:$J$9,MATCH(C138,'التقسيم Layout'!$B$4:$B$9,0)),"")</f>
        <v>175</v>
      </c>
    </row>
    <row r="139" spans="1:9" ht="17.25" thickTop="1" thickBot="1" x14ac:dyDescent="0.25">
      <c r="A139" s="23">
        <v>135</v>
      </c>
      <c r="B139" s="26" t="s">
        <v>192</v>
      </c>
      <c r="C139" s="28" t="s">
        <v>17</v>
      </c>
      <c r="D139" s="23" t="s">
        <v>26</v>
      </c>
      <c r="E139" s="23" t="s">
        <v>67</v>
      </c>
      <c r="F139" s="23">
        <v>8</v>
      </c>
      <c r="G139" s="23" t="s">
        <v>12</v>
      </c>
      <c r="H139" s="23" t="s">
        <v>14</v>
      </c>
      <c r="I139" s="23">
        <f>IFERROR(INDEX('التقسيم Layout'!$J$4:$J$9,MATCH(C139,'التقسيم Layout'!$B$4:$B$9,0)),"")</f>
        <v>175</v>
      </c>
    </row>
    <row r="140" spans="1:9" ht="17.25" thickTop="1" thickBot="1" x14ac:dyDescent="0.25">
      <c r="A140" s="23">
        <v>136</v>
      </c>
      <c r="B140" s="26" t="s">
        <v>193</v>
      </c>
      <c r="C140" s="28" t="s">
        <v>17</v>
      </c>
      <c r="D140" s="23" t="s">
        <v>13</v>
      </c>
      <c r="E140" s="23" t="s">
        <v>59</v>
      </c>
      <c r="F140" s="23">
        <v>9</v>
      </c>
      <c r="G140" s="23" t="s">
        <v>12</v>
      </c>
      <c r="H140" s="23" t="s">
        <v>14</v>
      </c>
      <c r="I140" s="23">
        <f>IFERROR(INDEX('التقسيم Layout'!$J$4:$J$9,MATCH(C140,'التقسيم Layout'!$B$4:$B$9,0)),"")</f>
        <v>175</v>
      </c>
    </row>
    <row r="141" spans="1:9" ht="17.25" thickTop="1" thickBot="1" x14ac:dyDescent="0.25">
      <c r="A141" s="23">
        <v>137</v>
      </c>
      <c r="B141" s="26" t="s">
        <v>194</v>
      </c>
      <c r="C141" s="28" t="s">
        <v>17</v>
      </c>
      <c r="D141" s="23" t="s">
        <v>17</v>
      </c>
      <c r="E141" s="23" t="s">
        <v>61</v>
      </c>
      <c r="F141" s="23">
        <v>9</v>
      </c>
      <c r="G141" s="23" t="s">
        <v>12</v>
      </c>
      <c r="H141" s="23" t="s">
        <v>14</v>
      </c>
      <c r="I141" s="23">
        <f>IFERROR(INDEX('التقسيم Layout'!$J$4:$J$9,MATCH(C141,'التقسيم Layout'!$B$4:$B$9,0)),"")</f>
        <v>175</v>
      </c>
    </row>
    <row r="142" spans="1:9" ht="17.25" thickTop="1" thickBot="1" x14ac:dyDescent="0.25">
      <c r="A142" s="23">
        <v>138</v>
      </c>
      <c r="B142" s="26" t="s">
        <v>195</v>
      </c>
      <c r="C142" s="28" t="s">
        <v>17</v>
      </c>
      <c r="D142" s="23" t="s">
        <v>20</v>
      </c>
      <c r="E142" s="23" t="s">
        <v>63</v>
      </c>
      <c r="F142" s="23">
        <v>9</v>
      </c>
      <c r="G142" s="23" t="s">
        <v>12</v>
      </c>
      <c r="H142" s="23" t="s">
        <v>14</v>
      </c>
      <c r="I142" s="23">
        <f>IFERROR(INDEX('التقسيم Layout'!$J$4:$J$9,MATCH(C142,'التقسيم Layout'!$B$4:$B$9,0)),"")</f>
        <v>175</v>
      </c>
    </row>
    <row r="143" spans="1:9" ht="17.25" thickTop="1" thickBot="1" x14ac:dyDescent="0.25">
      <c r="A143" s="23">
        <v>139</v>
      </c>
      <c r="B143" s="26" t="s">
        <v>196</v>
      </c>
      <c r="C143" s="28" t="s">
        <v>17</v>
      </c>
      <c r="D143" s="23" t="s">
        <v>22</v>
      </c>
      <c r="E143" s="23" t="s">
        <v>65</v>
      </c>
      <c r="F143" s="23">
        <v>9</v>
      </c>
      <c r="G143" s="23" t="s">
        <v>12</v>
      </c>
      <c r="H143" s="23" t="s">
        <v>14</v>
      </c>
      <c r="I143" s="23">
        <f>IFERROR(INDEX('التقسيم Layout'!$J$4:$J$9,MATCH(C143,'التقسيم Layout'!$B$4:$B$9,0)),"")</f>
        <v>175</v>
      </c>
    </row>
    <row r="144" spans="1:9" ht="17.25" thickTop="1" thickBot="1" x14ac:dyDescent="0.25">
      <c r="A144" s="23">
        <v>140</v>
      </c>
      <c r="B144" s="26" t="s">
        <v>197</v>
      </c>
      <c r="C144" s="28" t="s">
        <v>17</v>
      </c>
      <c r="D144" s="23" t="s">
        <v>26</v>
      </c>
      <c r="E144" s="23" t="s">
        <v>67</v>
      </c>
      <c r="F144" s="23">
        <v>9</v>
      </c>
      <c r="G144" s="23" t="s">
        <v>12</v>
      </c>
      <c r="H144" s="23" t="s">
        <v>14</v>
      </c>
      <c r="I144" s="23">
        <f>IFERROR(INDEX('التقسيم Layout'!$J$4:$J$9,MATCH(C144,'التقسيم Layout'!$B$4:$B$9,0)),"")</f>
        <v>175</v>
      </c>
    </row>
    <row r="145" spans="1:9" ht="17.25" thickTop="1" thickBot="1" x14ac:dyDescent="0.25">
      <c r="A145" s="23">
        <v>141</v>
      </c>
      <c r="B145" s="26" t="s">
        <v>198</v>
      </c>
      <c r="C145" s="28" t="s">
        <v>17</v>
      </c>
      <c r="D145" s="23" t="s">
        <v>13</v>
      </c>
      <c r="E145" s="23" t="s">
        <v>59</v>
      </c>
      <c r="F145" s="23">
        <v>10</v>
      </c>
      <c r="G145" s="23" t="s">
        <v>12</v>
      </c>
      <c r="H145" s="23" t="s">
        <v>14</v>
      </c>
      <c r="I145" s="23">
        <f>IFERROR(INDEX('التقسيم Layout'!$J$4:$J$9,MATCH(C145,'التقسيم Layout'!$B$4:$B$9,0)),"")</f>
        <v>175</v>
      </c>
    </row>
    <row r="146" spans="1:9" ht="17.25" thickTop="1" thickBot="1" x14ac:dyDescent="0.25">
      <c r="A146" s="23">
        <v>142</v>
      </c>
      <c r="B146" s="26" t="s">
        <v>199</v>
      </c>
      <c r="C146" s="28" t="s">
        <v>17</v>
      </c>
      <c r="D146" s="23" t="s">
        <v>17</v>
      </c>
      <c r="E146" s="23" t="s">
        <v>61</v>
      </c>
      <c r="F146" s="23">
        <v>10</v>
      </c>
      <c r="G146" s="23" t="s">
        <v>12</v>
      </c>
      <c r="H146" s="23" t="s">
        <v>14</v>
      </c>
      <c r="I146" s="23">
        <f>IFERROR(INDEX('التقسيم Layout'!$J$4:$J$9,MATCH(C146,'التقسيم Layout'!$B$4:$B$9,0)),"")</f>
        <v>175</v>
      </c>
    </row>
    <row r="147" spans="1:9" ht="17.25" thickTop="1" thickBot="1" x14ac:dyDescent="0.25">
      <c r="A147" s="23">
        <v>143</v>
      </c>
      <c r="B147" s="26" t="s">
        <v>200</v>
      </c>
      <c r="C147" s="28" t="s">
        <v>17</v>
      </c>
      <c r="D147" s="23" t="s">
        <v>20</v>
      </c>
      <c r="E147" s="23" t="s">
        <v>63</v>
      </c>
      <c r="F147" s="23">
        <v>10</v>
      </c>
      <c r="G147" s="23" t="s">
        <v>12</v>
      </c>
      <c r="H147" s="23" t="s">
        <v>14</v>
      </c>
      <c r="I147" s="23">
        <f>IFERROR(INDEX('التقسيم Layout'!$J$4:$J$9,MATCH(C147,'التقسيم Layout'!$B$4:$B$9,0)),"")</f>
        <v>175</v>
      </c>
    </row>
    <row r="148" spans="1:9" ht="17.25" thickTop="1" thickBot="1" x14ac:dyDescent="0.25">
      <c r="A148" s="23">
        <v>144</v>
      </c>
      <c r="B148" s="26" t="s">
        <v>201</v>
      </c>
      <c r="C148" s="28" t="s">
        <v>17</v>
      </c>
      <c r="D148" s="23" t="s">
        <v>22</v>
      </c>
      <c r="E148" s="23" t="s">
        <v>65</v>
      </c>
      <c r="F148" s="23">
        <v>10</v>
      </c>
      <c r="G148" s="23" t="s">
        <v>12</v>
      </c>
      <c r="H148" s="23" t="s">
        <v>14</v>
      </c>
      <c r="I148" s="23">
        <f>IFERROR(INDEX('التقسيم Layout'!$J$4:$J$9,MATCH(C148,'التقسيم Layout'!$B$4:$B$9,0)),"")</f>
        <v>175</v>
      </c>
    </row>
    <row r="149" spans="1:9" ht="17.25" thickTop="1" thickBot="1" x14ac:dyDescent="0.25">
      <c r="A149" s="23">
        <v>145</v>
      </c>
      <c r="B149" s="26" t="s">
        <v>202</v>
      </c>
      <c r="C149" s="28" t="s">
        <v>17</v>
      </c>
      <c r="D149" s="23" t="s">
        <v>26</v>
      </c>
      <c r="E149" s="23" t="s">
        <v>67</v>
      </c>
      <c r="F149" s="23">
        <v>10</v>
      </c>
      <c r="G149" s="23" t="s">
        <v>12</v>
      </c>
      <c r="H149" s="23" t="s">
        <v>14</v>
      </c>
      <c r="I149" s="23">
        <f>IFERROR(INDEX('التقسيم Layout'!$J$4:$J$9,MATCH(C149,'التقسيم Layout'!$B$4:$B$9,0)),"")</f>
        <v>175</v>
      </c>
    </row>
    <row r="150" spans="1:9" ht="17.25" thickTop="1" thickBot="1" x14ac:dyDescent="0.25">
      <c r="A150" s="23">
        <v>146</v>
      </c>
      <c r="B150" s="26" t="s">
        <v>203</v>
      </c>
      <c r="C150" s="28" t="s">
        <v>17</v>
      </c>
      <c r="D150" s="23" t="s">
        <v>13</v>
      </c>
      <c r="E150" s="23" t="s">
        <v>59</v>
      </c>
      <c r="F150" s="23">
        <v>11</v>
      </c>
      <c r="G150" s="23" t="s">
        <v>12</v>
      </c>
      <c r="H150" s="23" t="s">
        <v>14</v>
      </c>
      <c r="I150" s="23">
        <f>IFERROR(INDEX('التقسيم Layout'!$J$4:$J$9,MATCH(C150,'التقسيم Layout'!$B$4:$B$9,0)),"")</f>
        <v>175</v>
      </c>
    </row>
    <row r="151" spans="1:9" ht="17.25" thickTop="1" thickBot="1" x14ac:dyDescent="0.25">
      <c r="A151" s="23">
        <v>147</v>
      </c>
      <c r="B151" s="26" t="s">
        <v>204</v>
      </c>
      <c r="C151" s="28" t="s">
        <v>17</v>
      </c>
      <c r="D151" s="23" t="s">
        <v>17</v>
      </c>
      <c r="E151" s="23" t="s">
        <v>61</v>
      </c>
      <c r="F151" s="23">
        <v>11</v>
      </c>
      <c r="G151" s="23" t="s">
        <v>12</v>
      </c>
      <c r="H151" s="23" t="s">
        <v>14</v>
      </c>
      <c r="I151" s="23">
        <f>IFERROR(INDEX('التقسيم Layout'!$J$4:$J$9,MATCH(C151,'التقسيم Layout'!$B$4:$B$9,0)),"")</f>
        <v>175</v>
      </c>
    </row>
    <row r="152" spans="1:9" ht="17.25" thickTop="1" thickBot="1" x14ac:dyDescent="0.25">
      <c r="A152" s="23">
        <v>148</v>
      </c>
      <c r="B152" s="26" t="s">
        <v>205</v>
      </c>
      <c r="C152" s="28" t="s">
        <v>17</v>
      </c>
      <c r="D152" s="23" t="s">
        <v>20</v>
      </c>
      <c r="E152" s="23" t="s">
        <v>63</v>
      </c>
      <c r="F152" s="23">
        <v>11</v>
      </c>
      <c r="G152" s="23" t="s">
        <v>12</v>
      </c>
      <c r="H152" s="23" t="s">
        <v>14</v>
      </c>
      <c r="I152" s="23">
        <f>IFERROR(INDEX('التقسيم Layout'!$J$4:$J$9,MATCH(C152,'التقسيم Layout'!$B$4:$B$9,0)),"")</f>
        <v>175</v>
      </c>
    </row>
    <row r="153" spans="1:9" ht="17.25" thickTop="1" thickBot="1" x14ac:dyDescent="0.25">
      <c r="A153" s="23">
        <v>149</v>
      </c>
      <c r="B153" s="26" t="s">
        <v>206</v>
      </c>
      <c r="C153" s="28" t="s">
        <v>17</v>
      </c>
      <c r="D153" s="23" t="s">
        <v>22</v>
      </c>
      <c r="E153" s="23" t="s">
        <v>65</v>
      </c>
      <c r="F153" s="23">
        <v>11</v>
      </c>
      <c r="G153" s="23" t="s">
        <v>12</v>
      </c>
      <c r="H153" s="23" t="s">
        <v>14</v>
      </c>
      <c r="I153" s="23">
        <f>IFERROR(INDEX('التقسيم Layout'!$J$4:$J$9,MATCH(C153,'التقسيم Layout'!$B$4:$B$9,0)),"")</f>
        <v>175</v>
      </c>
    </row>
    <row r="154" spans="1:9" ht="17.25" thickTop="1" thickBot="1" x14ac:dyDescent="0.25">
      <c r="A154" s="23">
        <v>150</v>
      </c>
      <c r="B154" s="26" t="s">
        <v>207</v>
      </c>
      <c r="C154" s="28" t="s">
        <v>17</v>
      </c>
      <c r="D154" s="23" t="s">
        <v>26</v>
      </c>
      <c r="E154" s="23" t="s">
        <v>67</v>
      </c>
      <c r="F154" s="23">
        <v>11</v>
      </c>
      <c r="G154" s="23" t="s">
        <v>12</v>
      </c>
      <c r="H154" s="23" t="s">
        <v>14</v>
      </c>
      <c r="I154" s="23">
        <f>IFERROR(INDEX('التقسيم Layout'!$J$4:$J$9,MATCH(C154,'التقسيم Layout'!$B$4:$B$9,0)),"")</f>
        <v>175</v>
      </c>
    </row>
    <row r="155" spans="1:9" ht="17.25" thickTop="1" thickBot="1" x14ac:dyDescent="0.25">
      <c r="A155" s="23">
        <v>151</v>
      </c>
      <c r="B155" s="26" t="s">
        <v>208</v>
      </c>
      <c r="C155" s="28" t="s">
        <v>17</v>
      </c>
      <c r="D155" s="23" t="s">
        <v>13</v>
      </c>
      <c r="E155" s="23" t="s">
        <v>59</v>
      </c>
      <c r="F155" s="23">
        <v>12</v>
      </c>
      <c r="G155" s="23" t="s">
        <v>12</v>
      </c>
      <c r="H155" s="23" t="s">
        <v>14</v>
      </c>
      <c r="I155" s="23">
        <f>IFERROR(INDEX('التقسيم Layout'!$J$4:$J$9,MATCH(C155,'التقسيم Layout'!$B$4:$B$9,0)),"")</f>
        <v>175</v>
      </c>
    </row>
    <row r="156" spans="1:9" ht="17.25" thickTop="1" thickBot="1" x14ac:dyDescent="0.25">
      <c r="A156" s="23">
        <v>152</v>
      </c>
      <c r="B156" s="26" t="s">
        <v>209</v>
      </c>
      <c r="C156" s="28" t="s">
        <v>17</v>
      </c>
      <c r="D156" s="23" t="s">
        <v>17</v>
      </c>
      <c r="E156" s="23" t="s">
        <v>61</v>
      </c>
      <c r="F156" s="23">
        <v>12</v>
      </c>
      <c r="G156" s="23" t="s">
        <v>12</v>
      </c>
      <c r="H156" s="23" t="s">
        <v>14</v>
      </c>
      <c r="I156" s="23">
        <f>IFERROR(INDEX('التقسيم Layout'!$J$4:$J$9,MATCH(C156,'التقسيم Layout'!$B$4:$B$9,0)),"")</f>
        <v>175</v>
      </c>
    </row>
    <row r="157" spans="1:9" ht="17.25" thickTop="1" thickBot="1" x14ac:dyDescent="0.25">
      <c r="A157" s="23">
        <v>153</v>
      </c>
      <c r="B157" s="26" t="s">
        <v>210</v>
      </c>
      <c r="C157" s="28" t="s">
        <v>17</v>
      </c>
      <c r="D157" s="23" t="s">
        <v>20</v>
      </c>
      <c r="E157" s="23" t="s">
        <v>63</v>
      </c>
      <c r="F157" s="23">
        <v>12</v>
      </c>
      <c r="G157" s="23" t="s">
        <v>12</v>
      </c>
      <c r="H157" s="23" t="s">
        <v>14</v>
      </c>
      <c r="I157" s="23">
        <f>IFERROR(INDEX('التقسيم Layout'!$J$4:$J$9,MATCH(C157,'التقسيم Layout'!$B$4:$B$9,0)),"")</f>
        <v>175</v>
      </c>
    </row>
    <row r="158" spans="1:9" ht="17.25" thickTop="1" thickBot="1" x14ac:dyDescent="0.25">
      <c r="A158" s="23">
        <v>154</v>
      </c>
      <c r="B158" s="26" t="s">
        <v>211</v>
      </c>
      <c r="C158" s="28" t="s">
        <v>17</v>
      </c>
      <c r="D158" s="23" t="s">
        <v>22</v>
      </c>
      <c r="E158" s="23" t="s">
        <v>65</v>
      </c>
      <c r="F158" s="23">
        <v>12</v>
      </c>
      <c r="G158" s="23" t="s">
        <v>12</v>
      </c>
      <c r="H158" s="23" t="s">
        <v>14</v>
      </c>
      <c r="I158" s="23">
        <f>IFERROR(INDEX('التقسيم Layout'!$J$4:$J$9,MATCH(C158,'التقسيم Layout'!$B$4:$B$9,0)),"")</f>
        <v>175</v>
      </c>
    </row>
    <row r="159" spans="1:9" ht="17.25" thickTop="1" thickBot="1" x14ac:dyDescent="0.25">
      <c r="A159" s="23">
        <v>155</v>
      </c>
      <c r="B159" s="26" t="s">
        <v>212</v>
      </c>
      <c r="C159" s="28" t="s">
        <v>17</v>
      </c>
      <c r="D159" s="23" t="s">
        <v>26</v>
      </c>
      <c r="E159" s="23" t="s">
        <v>67</v>
      </c>
      <c r="F159" s="23">
        <v>12</v>
      </c>
      <c r="G159" s="23" t="s">
        <v>12</v>
      </c>
      <c r="H159" s="23" t="s">
        <v>14</v>
      </c>
      <c r="I159" s="23">
        <f>IFERROR(INDEX('التقسيم Layout'!$J$4:$J$9,MATCH(C159,'التقسيم Layout'!$B$4:$B$9,0)),"")</f>
        <v>175</v>
      </c>
    </row>
    <row r="160" spans="1:9" ht="17.25" thickTop="1" thickBot="1" x14ac:dyDescent="0.25">
      <c r="A160" s="23">
        <v>156</v>
      </c>
      <c r="B160" s="26" t="s">
        <v>213</v>
      </c>
      <c r="C160" s="28" t="s">
        <v>17</v>
      </c>
      <c r="D160" s="23" t="s">
        <v>13</v>
      </c>
      <c r="E160" s="23" t="s">
        <v>59</v>
      </c>
      <c r="F160" s="23">
        <v>13</v>
      </c>
      <c r="G160" s="23" t="s">
        <v>12</v>
      </c>
      <c r="H160" s="23" t="s">
        <v>14</v>
      </c>
      <c r="I160" s="23">
        <f>IFERROR(INDEX('التقسيم Layout'!$J$4:$J$9,MATCH(C160,'التقسيم Layout'!$B$4:$B$9,0)),"")</f>
        <v>175</v>
      </c>
    </row>
    <row r="161" spans="1:9" ht="17.25" thickTop="1" thickBot="1" x14ac:dyDescent="0.25">
      <c r="A161" s="23">
        <v>157</v>
      </c>
      <c r="B161" s="26" t="s">
        <v>214</v>
      </c>
      <c r="C161" s="28" t="s">
        <v>17</v>
      </c>
      <c r="D161" s="23" t="s">
        <v>17</v>
      </c>
      <c r="E161" s="23" t="s">
        <v>61</v>
      </c>
      <c r="F161" s="23">
        <v>13</v>
      </c>
      <c r="G161" s="23" t="s">
        <v>12</v>
      </c>
      <c r="H161" s="23" t="s">
        <v>14</v>
      </c>
      <c r="I161" s="23">
        <f>IFERROR(INDEX('التقسيم Layout'!$J$4:$J$9,MATCH(C161,'التقسيم Layout'!$B$4:$B$9,0)),"")</f>
        <v>175</v>
      </c>
    </row>
    <row r="162" spans="1:9" ht="17.25" thickTop="1" thickBot="1" x14ac:dyDescent="0.25">
      <c r="A162" s="23">
        <v>158</v>
      </c>
      <c r="B162" s="26" t="s">
        <v>215</v>
      </c>
      <c r="C162" s="28" t="s">
        <v>17</v>
      </c>
      <c r="D162" s="23" t="s">
        <v>20</v>
      </c>
      <c r="E162" s="23" t="s">
        <v>63</v>
      </c>
      <c r="F162" s="23">
        <v>13</v>
      </c>
      <c r="G162" s="23" t="s">
        <v>12</v>
      </c>
      <c r="H162" s="23" t="s">
        <v>14</v>
      </c>
      <c r="I162" s="23">
        <f>IFERROR(INDEX('التقسيم Layout'!$J$4:$J$9,MATCH(C162,'التقسيم Layout'!$B$4:$B$9,0)),"")</f>
        <v>175</v>
      </c>
    </row>
    <row r="163" spans="1:9" ht="17.25" thickTop="1" thickBot="1" x14ac:dyDescent="0.25">
      <c r="A163" s="23">
        <v>159</v>
      </c>
      <c r="B163" s="26" t="s">
        <v>216</v>
      </c>
      <c r="C163" s="28" t="s">
        <v>17</v>
      </c>
      <c r="D163" s="23" t="s">
        <v>22</v>
      </c>
      <c r="E163" s="23" t="s">
        <v>65</v>
      </c>
      <c r="F163" s="23">
        <v>13</v>
      </c>
      <c r="G163" s="23" t="s">
        <v>12</v>
      </c>
      <c r="H163" s="23" t="s">
        <v>14</v>
      </c>
      <c r="I163" s="23">
        <f>IFERROR(INDEX('التقسيم Layout'!$J$4:$J$9,MATCH(C163,'التقسيم Layout'!$B$4:$B$9,0)),"")</f>
        <v>175</v>
      </c>
    </row>
    <row r="164" spans="1:9" ht="17.25" thickTop="1" thickBot="1" x14ac:dyDescent="0.25">
      <c r="A164" s="23">
        <v>160</v>
      </c>
      <c r="B164" s="26" t="s">
        <v>217</v>
      </c>
      <c r="C164" s="28" t="s">
        <v>17</v>
      </c>
      <c r="D164" s="23" t="s">
        <v>26</v>
      </c>
      <c r="E164" s="23" t="s">
        <v>67</v>
      </c>
      <c r="F164" s="23">
        <v>13</v>
      </c>
      <c r="G164" s="23" t="s">
        <v>12</v>
      </c>
      <c r="H164" s="23" t="s">
        <v>14</v>
      </c>
      <c r="I164" s="23">
        <f>IFERROR(INDEX('التقسيم Layout'!$J$4:$J$9,MATCH(C164,'التقسيم Layout'!$B$4:$B$9,0)),"")</f>
        <v>175</v>
      </c>
    </row>
    <row r="165" spans="1:9" ht="17.25" thickTop="1" thickBot="1" x14ac:dyDescent="0.25">
      <c r="A165" s="23">
        <v>161</v>
      </c>
      <c r="B165" s="26" t="s">
        <v>218</v>
      </c>
      <c r="C165" s="28" t="s">
        <v>17</v>
      </c>
      <c r="D165" s="23" t="s">
        <v>13</v>
      </c>
      <c r="E165" s="23" t="s">
        <v>59</v>
      </c>
      <c r="F165" s="23">
        <v>14</v>
      </c>
      <c r="G165" s="23" t="s">
        <v>12</v>
      </c>
      <c r="H165" s="23" t="s">
        <v>14</v>
      </c>
      <c r="I165" s="23">
        <f>IFERROR(INDEX('التقسيم Layout'!$J$4:$J$9,MATCH(C165,'التقسيم Layout'!$B$4:$B$9,0)),"")</f>
        <v>175</v>
      </c>
    </row>
    <row r="166" spans="1:9" ht="17.25" thickTop="1" thickBot="1" x14ac:dyDescent="0.25">
      <c r="A166" s="23">
        <v>162</v>
      </c>
      <c r="B166" s="26" t="s">
        <v>219</v>
      </c>
      <c r="C166" s="28" t="s">
        <v>17</v>
      </c>
      <c r="D166" s="23" t="s">
        <v>17</v>
      </c>
      <c r="E166" s="23" t="s">
        <v>61</v>
      </c>
      <c r="F166" s="23">
        <v>14</v>
      </c>
      <c r="G166" s="23" t="s">
        <v>12</v>
      </c>
      <c r="H166" s="23" t="s">
        <v>14</v>
      </c>
      <c r="I166" s="23">
        <f>IFERROR(INDEX('التقسيم Layout'!$J$4:$J$9,MATCH(C166,'التقسيم Layout'!$B$4:$B$9,0)),"")</f>
        <v>175</v>
      </c>
    </row>
    <row r="167" spans="1:9" ht="17.25" thickTop="1" thickBot="1" x14ac:dyDescent="0.25">
      <c r="A167" s="23">
        <v>163</v>
      </c>
      <c r="B167" s="26" t="s">
        <v>220</v>
      </c>
      <c r="C167" s="28" t="s">
        <v>17</v>
      </c>
      <c r="D167" s="23" t="s">
        <v>20</v>
      </c>
      <c r="E167" s="23" t="s">
        <v>63</v>
      </c>
      <c r="F167" s="23">
        <v>14</v>
      </c>
      <c r="G167" s="23" t="s">
        <v>12</v>
      </c>
      <c r="H167" s="23" t="s">
        <v>14</v>
      </c>
      <c r="I167" s="23">
        <f>IFERROR(INDEX('التقسيم Layout'!$J$4:$J$9,MATCH(C167,'التقسيم Layout'!$B$4:$B$9,0)),"")</f>
        <v>175</v>
      </c>
    </row>
    <row r="168" spans="1:9" ht="17.25" thickTop="1" thickBot="1" x14ac:dyDescent="0.25">
      <c r="A168" s="23">
        <v>164</v>
      </c>
      <c r="B168" s="26" t="s">
        <v>221</v>
      </c>
      <c r="C168" s="28" t="s">
        <v>17</v>
      </c>
      <c r="D168" s="23" t="s">
        <v>22</v>
      </c>
      <c r="E168" s="23" t="s">
        <v>65</v>
      </c>
      <c r="F168" s="23">
        <v>14</v>
      </c>
      <c r="G168" s="23" t="s">
        <v>12</v>
      </c>
      <c r="H168" s="23" t="s">
        <v>14</v>
      </c>
      <c r="I168" s="23">
        <f>IFERROR(INDEX('التقسيم Layout'!$J$4:$J$9,MATCH(C168,'التقسيم Layout'!$B$4:$B$9,0)),"")</f>
        <v>175</v>
      </c>
    </row>
    <row r="169" spans="1:9" ht="17.25" thickTop="1" thickBot="1" x14ac:dyDescent="0.25">
      <c r="A169" s="23">
        <v>165</v>
      </c>
      <c r="B169" s="26" t="s">
        <v>222</v>
      </c>
      <c r="C169" s="28" t="s">
        <v>17</v>
      </c>
      <c r="D169" s="23" t="s">
        <v>26</v>
      </c>
      <c r="E169" s="23" t="s">
        <v>67</v>
      </c>
      <c r="F169" s="23">
        <v>14</v>
      </c>
      <c r="G169" s="23" t="s">
        <v>12</v>
      </c>
      <c r="H169" s="23" t="s">
        <v>14</v>
      </c>
      <c r="I169" s="23">
        <f>IFERROR(INDEX('التقسيم Layout'!$J$4:$J$9,MATCH(C169,'التقسيم Layout'!$B$4:$B$9,0)),"")</f>
        <v>175</v>
      </c>
    </row>
    <row r="170" spans="1:9" ht="17.25" thickTop="1" thickBot="1" x14ac:dyDescent="0.25">
      <c r="A170" s="23">
        <v>166</v>
      </c>
      <c r="B170" s="26" t="s">
        <v>223</v>
      </c>
      <c r="C170" s="28" t="s">
        <v>17</v>
      </c>
      <c r="D170" s="23" t="s">
        <v>13</v>
      </c>
      <c r="E170" s="23" t="s">
        <v>59</v>
      </c>
      <c r="F170" s="23">
        <v>15</v>
      </c>
      <c r="G170" s="23" t="s">
        <v>12</v>
      </c>
      <c r="H170" s="23" t="s">
        <v>14</v>
      </c>
      <c r="I170" s="23">
        <f>IFERROR(INDEX('التقسيم Layout'!$J$4:$J$9,MATCH(C170,'التقسيم Layout'!$B$4:$B$9,0)),"")</f>
        <v>175</v>
      </c>
    </row>
    <row r="171" spans="1:9" ht="17.25" thickTop="1" thickBot="1" x14ac:dyDescent="0.25">
      <c r="A171" s="23">
        <v>167</v>
      </c>
      <c r="B171" s="26" t="s">
        <v>224</v>
      </c>
      <c r="C171" s="28" t="s">
        <v>17</v>
      </c>
      <c r="D171" s="23" t="s">
        <v>17</v>
      </c>
      <c r="E171" s="23" t="s">
        <v>61</v>
      </c>
      <c r="F171" s="23">
        <v>15</v>
      </c>
      <c r="G171" s="23" t="s">
        <v>12</v>
      </c>
      <c r="H171" s="23" t="s">
        <v>14</v>
      </c>
      <c r="I171" s="23">
        <f>IFERROR(INDEX('التقسيم Layout'!$J$4:$J$9,MATCH(C171,'التقسيم Layout'!$B$4:$B$9,0)),"")</f>
        <v>175</v>
      </c>
    </row>
    <row r="172" spans="1:9" ht="17.25" thickTop="1" thickBot="1" x14ac:dyDescent="0.25">
      <c r="A172" s="23">
        <v>168</v>
      </c>
      <c r="B172" s="26" t="s">
        <v>225</v>
      </c>
      <c r="C172" s="28" t="s">
        <v>17</v>
      </c>
      <c r="D172" s="23" t="s">
        <v>20</v>
      </c>
      <c r="E172" s="23" t="s">
        <v>63</v>
      </c>
      <c r="F172" s="23">
        <v>15</v>
      </c>
      <c r="G172" s="23" t="s">
        <v>12</v>
      </c>
      <c r="H172" s="23" t="s">
        <v>14</v>
      </c>
      <c r="I172" s="23">
        <f>IFERROR(INDEX('التقسيم Layout'!$J$4:$J$9,MATCH(C172,'التقسيم Layout'!$B$4:$B$9,0)),"")</f>
        <v>175</v>
      </c>
    </row>
    <row r="173" spans="1:9" ht="17.25" thickTop="1" thickBot="1" x14ac:dyDescent="0.25">
      <c r="A173" s="23">
        <v>169</v>
      </c>
      <c r="B173" s="26" t="s">
        <v>226</v>
      </c>
      <c r="C173" s="28" t="s">
        <v>17</v>
      </c>
      <c r="D173" s="23" t="s">
        <v>22</v>
      </c>
      <c r="E173" s="23" t="s">
        <v>65</v>
      </c>
      <c r="F173" s="23">
        <v>15</v>
      </c>
      <c r="G173" s="23" t="s">
        <v>12</v>
      </c>
      <c r="H173" s="23" t="s">
        <v>14</v>
      </c>
      <c r="I173" s="23">
        <f>IFERROR(INDEX('التقسيم Layout'!$J$4:$J$9,MATCH(C173,'التقسيم Layout'!$B$4:$B$9,0)),"")</f>
        <v>175</v>
      </c>
    </row>
    <row r="174" spans="1:9" ht="17.25" thickTop="1" thickBot="1" x14ac:dyDescent="0.25">
      <c r="A174" s="23">
        <v>170</v>
      </c>
      <c r="B174" s="26" t="s">
        <v>227</v>
      </c>
      <c r="C174" s="28" t="s">
        <v>17</v>
      </c>
      <c r="D174" s="23" t="s">
        <v>26</v>
      </c>
      <c r="E174" s="23" t="s">
        <v>67</v>
      </c>
      <c r="F174" s="23">
        <v>15</v>
      </c>
      <c r="G174" s="23" t="s">
        <v>12</v>
      </c>
      <c r="H174" s="23" t="s">
        <v>14</v>
      </c>
      <c r="I174" s="23">
        <f>IFERROR(INDEX('التقسيم Layout'!$J$4:$J$9,MATCH(C174,'التقسيم Layout'!$B$4:$B$9,0)),"")</f>
        <v>175</v>
      </c>
    </row>
    <row r="175" spans="1:9" ht="17.25" thickTop="1" thickBot="1" x14ac:dyDescent="0.25">
      <c r="A175" s="23">
        <v>171</v>
      </c>
      <c r="B175" s="26" t="s">
        <v>228</v>
      </c>
      <c r="C175" s="28" t="s">
        <v>17</v>
      </c>
      <c r="D175" s="23" t="s">
        <v>13</v>
      </c>
      <c r="E175" s="23" t="s">
        <v>59</v>
      </c>
      <c r="F175" s="23">
        <v>16</v>
      </c>
      <c r="G175" s="23" t="s">
        <v>12</v>
      </c>
      <c r="H175" s="23" t="s">
        <v>14</v>
      </c>
      <c r="I175" s="23">
        <f>IFERROR(INDEX('التقسيم Layout'!$J$4:$J$9,MATCH(C175,'التقسيم Layout'!$B$4:$B$9,0)),"")</f>
        <v>175</v>
      </c>
    </row>
    <row r="176" spans="1:9" ht="17.25" thickTop="1" thickBot="1" x14ac:dyDescent="0.25">
      <c r="A176" s="23">
        <v>172</v>
      </c>
      <c r="B176" s="26" t="s">
        <v>229</v>
      </c>
      <c r="C176" s="28" t="s">
        <v>17</v>
      </c>
      <c r="D176" s="23" t="s">
        <v>17</v>
      </c>
      <c r="E176" s="23" t="s">
        <v>61</v>
      </c>
      <c r="F176" s="23">
        <v>16</v>
      </c>
      <c r="G176" s="23" t="s">
        <v>12</v>
      </c>
      <c r="H176" s="23" t="s">
        <v>14</v>
      </c>
      <c r="I176" s="23">
        <f>IFERROR(INDEX('التقسيم Layout'!$J$4:$J$9,MATCH(C176,'التقسيم Layout'!$B$4:$B$9,0)),"")</f>
        <v>175</v>
      </c>
    </row>
    <row r="177" spans="1:9" ht="17.25" thickTop="1" thickBot="1" x14ac:dyDescent="0.25">
      <c r="A177" s="23">
        <v>173</v>
      </c>
      <c r="B177" s="26" t="s">
        <v>230</v>
      </c>
      <c r="C177" s="28" t="s">
        <v>17</v>
      </c>
      <c r="D177" s="23" t="s">
        <v>20</v>
      </c>
      <c r="E177" s="23" t="s">
        <v>63</v>
      </c>
      <c r="F177" s="23">
        <v>16</v>
      </c>
      <c r="G177" s="23" t="s">
        <v>12</v>
      </c>
      <c r="H177" s="23" t="s">
        <v>14</v>
      </c>
      <c r="I177" s="23">
        <f>IFERROR(INDEX('التقسيم Layout'!$J$4:$J$9,MATCH(C177,'التقسيم Layout'!$B$4:$B$9,0)),"")</f>
        <v>175</v>
      </c>
    </row>
    <row r="178" spans="1:9" ht="17.25" thickTop="1" thickBot="1" x14ac:dyDescent="0.25">
      <c r="A178" s="23">
        <v>174</v>
      </c>
      <c r="B178" s="26" t="s">
        <v>231</v>
      </c>
      <c r="C178" s="28" t="s">
        <v>17</v>
      </c>
      <c r="D178" s="23" t="s">
        <v>22</v>
      </c>
      <c r="E178" s="23" t="s">
        <v>65</v>
      </c>
      <c r="F178" s="23">
        <v>16</v>
      </c>
      <c r="G178" s="23" t="s">
        <v>12</v>
      </c>
      <c r="H178" s="23" t="s">
        <v>14</v>
      </c>
      <c r="I178" s="23">
        <f>IFERROR(INDEX('التقسيم Layout'!$J$4:$J$9,MATCH(C178,'التقسيم Layout'!$B$4:$B$9,0)),"")</f>
        <v>175</v>
      </c>
    </row>
    <row r="179" spans="1:9" ht="17.25" thickTop="1" thickBot="1" x14ac:dyDescent="0.25">
      <c r="A179" s="23">
        <v>175</v>
      </c>
      <c r="B179" s="26" t="s">
        <v>232</v>
      </c>
      <c r="C179" s="28" t="s">
        <v>17</v>
      </c>
      <c r="D179" s="23" t="s">
        <v>26</v>
      </c>
      <c r="E179" s="23" t="s">
        <v>67</v>
      </c>
      <c r="F179" s="23">
        <v>16</v>
      </c>
      <c r="G179" s="23" t="s">
        <v>12</v>
      </c>
      <c r="H179" s="23" t="s">
        <v>14</v>
      </c>
      <c r="I179" s="23">
        <f>IFERROR(INDEX('التقسيم Layout'!$J$4:$J$9,MATCH(C179,'التقسيم Layout'!$B$4:$B$9,0)),"")</f>
        <v>175</v>
      </c>
    </row>
    <row r="180" spans="1:9" ht="17.25" thickTop="1" thickBot="1" x14ac:dyDescent="0.25">
      <c r="A180" s="23">
        <v>176</v>
      </c>
      <c r="B180" s="26" t="s">
        <v>233</v>
      </c>
      <c r="C180" s="28" t="s">
        <v>17</v>
      </c>
      <c r="D180" s="23" t="s">
        <v>13</v>
      </c>
      <c r="E180" s="23" t="s">
        <v>59</v>
      </c>
      <c r="F180" s="23">
        <v>17</v>
      </c>
      <c r="G180" s="23" t="s">
        <v>12</v>
      </c>
      <c r="H180" s="23" t="s">
        <v>14</v>
      </c>
      <c r="I180" s="23">
        <f>IFERROR(INDEX('التقسيم Layout'!$J$4:$J$9,MATCH(C180,'التقسيم Layout'!$B$4:$B$9,0)),"")</f>
        <v>175</v>
      </c>
    </row>
    <row r="181" spans="1:9" ht="17.25" thickTop="1" thickBot="1" x14ac:dyDescent="0.25">
      <c r="A181" s="23">
        <v>177</v>
      </c>
      <c r="B181" s="26" t="s">
        <v>234</v>
      </c>
      <c r="C181" s="28" t="s">
        <v>17</v>
      </c>
      <c r="D181" s="23" t="s">
        <v>17</v>
      </c>
      <c r="E181" s="23" t="s">
        <v>61</v>
      </c>
      <c r="F181" s="23">
        <v>17</v>
      </c>
      <c r="G181" s="23" t="s">
        <v>12</v>
      </c>
      <c r="H181" s="23" t="s">
        <v>14</v>
      </c>
      <c r="I181" s="23">
        <f>IFERROR(INDEX('التقسيم Layout'!$J$4:$J$9,MATCH(C181,'التقسيم Layout'!$B$4:$B$9,0)),"")</f>
        <v>175</v>
      </c>
    </row>
    <row r="182" spans="1:9" ht="17.25" thickTop="1" thickBot="1" x14ac:dyDescent="0.25">
      <c r="A182" s="23">
        <v>178</v>
      </c>
      <c r="B182" s="26" t="s">
        <v>235</v>
      </c>
      <c r="C182" s="28" t="s">
        <v>17</v>
      </c>
      <c r="D182" s="23" t="s">
        <v>20</v>
      </c>
      <c r="E182" s="23" t="s">
        <v>63</v>
      </c>
      <c r="F182" s="23">
        <v>17</v>
      </c>
      <c r="G182" s="23" t="s">
        <v>12</v>
      </c>
      <c r="H182" s="23" t="s">
        <v>14</v>
      </c>
      <c r="I182" s="23">
        <f>IFERROR(INDEX('التقسيم Layout'!$J$4:$J$9,MATCH(C182,'التقسيم Layout'!$B$4:$B$9,0)),"")</f>
        <v>175</v>
      </c>
    </row>
    <row r="183" spans="1:9" ht="17.25" thickTop="1" thickBot="1" x14ac:dyDescent="0.25">
      <c r="A183" s="23">
        <v>179</v>
      </c>
      <c r="B183" s="26" t="s">
        <v>236</v>
      </c>
      <c r="C183" s="28" t="s">
        <v>17</v>
      </c>
      <c r="D183" s="23" t="s">
        <v>22</v>
      </c>
      <c r="E183" s="23" t="s">
        <v>65</v>
      </c>
      <c r="F183" s="23">
        <v>17</v>
      </c>
      <c r="G183" s="23" t="s">
        <v>12</v>
      </c>
      <c r="H183" s="23" t="s">
        <v>14</v>
      </c>
      <c r="I183" s="23">
        <f>IFERROR(INDEX('التقسيم Layout'!$J$4:$J$9,MATCH(C183,'التقسيم Layout'!$B$4:$B$9,0)),"")</f>
        <v>175</v>
      </c>
    </row>
    <row r="184" spans="1:9" ht="17.25" thickTop="1" thickBot="1" x14ac:dyDescent="0.25">
      <c r="A184" s="23">
        <v>180</v>
      </c>
      <c r="B184" s="26" t="s">
        <v>237</v>
      </c>
      <c r="C184" s="28" t="s">
        <v>17</v>
      </c>
      <c r="D184" s="23" t="s">
        <v>26</v>
      </c>
      <c r="E184" s="23" t="s">
        <v>67</v>
      </c>
      <c r="F184" s="23">
        <v>17</v>
      </c>
      <c r="G184" s="23" t="s">
        <v>12</v>
      </c>
      <c r="H184" s="23" t="s">
        <v>14</v>
      </c>
      <c r="I184" s="23">
        <f>IFERROR(INDEX('التقسيم Layout'!$J$4:$J$9,MATCH(C184,'التقسيم Layout'!$B$4:$B$9,0)),"")</f>
        <v>175</v>
      </c>
    </row>
    <row r="185" spans="1:9" ht="17.25" thickTop="1" thickBot="1" x14ac:dyDescent="0.25">
      <c r="A185" s="23">
        <v>181</v>
      </c>
      <c r="B185" s="26" t="s">
        <v>238</v>
      </c>
      <c r="C185" s="28" t="s">
        <v>17</v>
      </c>
      <c r="D185" s="23" t="s">
        <v>13</v>
      </c>
      <c r="E185" s="23" t="s">
        <v>59</v>
      </c>
      <c r="F185" s="23">
        <v>18</v>
      </c>
      <c r="G185" s="23" t="s">
        <v>12</v>
      </c>
      <c r="H185" s="23" t="s">
        <v>14</v>
      </c>
      <c r="I185" s="23">
        <f>IFERROR(INDEX('التقسيم Layout'!$J$4:$J$9,MATCH(C185,'التقسيم Layout'!$B$4:$B$9,0)),"")</f>
        <v>175</v>
      </c>
    </row>
    <row r="186" spans="1:9" ht="17.25" thickTop="1" thickBot="1" x14ac:dyDescent="0.25">
      <c r="A186" s="23">
        <v>182</v>
      </c>
      <c r="B186" s="26" t="s">
        <v>239</v>
      </c>
      <c r="C186" s="28" t="s">
        <v>17</v>
      </c>
      <c r="D186" s="23" t="s">
        <v>17</v>
      </c>
      <c r="E186" s="23" t="s">
        <v>61</v>
      </c>
      <c r="F186" s="23">
        <v>18</v>
      </c>
      <c r="G186" s="23" t="s">
        <v>12</v>
      </c>
      <c r="H186" s="23" t="s">
        <v>14</v>
      </c>
      <c r="I186" s="23">
        <f>IFERROR(INDEX('التقسيم Layout'!$J$4:$J$9,MATCH(C186,'التقسيم Layout'!$B$4:$B$9,0)),"")</f>
        <v>175</v>
      </c>
    </row>
    <row r="187" spans="1:9" ht="17.25" thickTop="1" thickBot="1" x14ac:dyDescent="0.25">
      <c r="A187" s="23">
        <v>183</v>
      </c>
      <c r="B187" s="26" t="s">
        <v>240</v>
      </c>
      <c r="C187" s="28" t="s">
        <v>17</v>
      </c>
      <c r="D187" s="23" t="s">
        <v>20</v>
      </c>
      <c r="E187" s="23" t="s">
        <v>63</v>
      </c>
      <c r="F187" s="23">
        <v>18</v>
      </c>
      <c r="G187" s="23" t="s">
        <v>12</v>
      </c>
      <c r="H187" s="23" t="s">
        <v>14</v>
      </c>
      <c r="I187" s="23">
        <f>IFERROR(INDEX('التقسيم Layout'!$J$4:$J$9,MATCH(C187,'التقسيم Layout'!$B$4:$B$9,0)),"")</f>
        <v>175</v>
      </c>
    </row>
    <row r="188" spans="1:9" ht="17.25" thickTop="1" thickBot="1" x14ac:dyDescent="0.25">
      <c r="A188" s="23">
        <v>184</v>
      </c>
      <c r="B188" s="26" t="s">
        <v>241</v>
      </c>
      <c r="C188" s="28" t="s">
        <v>17</v>
      </c>
      <c r="D188" s="23" t="s">
        <v>22</v>
      </c>
      <c r="E188" s="23" t="s">
        <v>65</v>
      </c>
      <c r="F188" s="23">
        <v>18</v>
      </c>
      <c r="G188" s="23" t="s">
        <v>12</v>
      </c>
      <c r="H188" s="23" t="s">
        <v>14</v>
      </c>
      <c r="I188" s="23">
        <f>IFERROR(INDEX('التقسيم Layout'!$J$4:$J$9,MATCH(C188,'التقسيم Layout'!$B$4:$B$9,0)),"")</f>
        <v>175</v>
      </c>
    </row>
    <row r="189" spans="1:9" ht="17.25" thickTop="1" thickBot="1" x14ac:dyDescent="0.25">
      <c r="A189" s="23">
        <v>185</v>
      </c>
      <c r="B189" s="26" t="s">
        <v>242</v>
      </c>
      <c r="C189" s="28" t="s">
        <v>17</v>
      </c>
      <c r="D189" s="23" t="s">
        <v>26</v>
      </c>
      <c r="E189" s="23" t="s">
        <v>67</v>
      </c>
      <c r="F189" s="23">
        <v>18</v>
      </c>
      <c r="G189" s="23" t="s">
        <v>12</v>
      </c>
      <c r="H189" s="23" t="s">
        <v>14</v>
      </c>
      <c r="I189" s="23">
        <f>IFERROR(INDEX('التقسيم Layout'!$J$4:$J$9,MATCH(C189,'التقسيم Layout'!$B$4:$B$9,0)),"")</f>
        <v>175</v>
      </c>
    </row>
    <row r="190" spans="1:9" ht="17.25" thickTop="1" thickBot="1" x14ac:dyDescent="0.25">
      <c r="A190" s="23">
        <v>186</v>
      </c>
      <c r="B190" s="26" t="s">
        <v>243</v>
      </c>
      <c r="C190" s="28" t="s">
        <v>17</v>
      </c>
      <c r="D190" s="23" t="s">
        <v>13</v>
      </c>
      <c r="E190" s="23" t="s">
        <v>59</v>
      </c>
      <c r="F190" s="23">
        <v>19</v>
      </c>
      <c r="G190" s="23" t="s">
        <v>12</v>
      </c>
      <c r="H190" s="23" t="s">
        <v>14</v>
      </c>
      <c r="I190" s="23">
        <f>IFERROR(INDEX('التقسيم Layout'!$J$4:$J$9,MATCH(C190,'التقسيم Layout'!$B$4:$B$9,0)),"")</f>
        <v>175</v>
      </c>
    </row>
    <row r="191" spans="1:9" ht="17.25" thickTop="1" thickBot="1" x14ac:dyDescent="0.25">
      <c r="A191" s="23">
        <v>187</v>
      </c>
      <c r="B191" s="26" t="s">
        <v>244</v>
      </c>
      <c r="C191" s="28" t="s">
        <v>17</v>
      </c>
      <c r="D191" s="23" t="s">
        <v>17</v>
      </c>
      <c r="E191" s="23" t="s">
        <v>61</v>
      </c>
      <c r="F191" s="23">
        <v>19</v>
      </c>
      <c r="G191" s="23" t="s">
        <v>12</v>
      </c>
      <c r="H191" s="23" t="s">
        <v>14</v>
      </c>
      <c r="I191" s="23">
        <f>IFERROR(INDEX('التقسيم Layout'!$J$4:$J$9,MATCH(C191,'التقسيم Layout'!$B$4:$B$9,0)),"")</f>
        <v>175</v>
      </c>
    </row>
    <row r="192" spans="1:9" ht="17.25" thickTop="1" thickBot="1" x14ac:dyDescent="0.25">
      <c r="A192" s="23">
        <v>188</v>
      </c>
      <c r="B192" s="26" t="s">
        <v>245</v>
      </c>
      <c r="C192" s="28" t="s">
        <v>17</v>
      </c>
      <c r="D192" s="23" t="s">
        <v>20</v>
      </c>
      <c r="E192" s="23" t="s">
        <v>63</v>
      </c>
      <c r="F192" s="23">
        <v>19</v>
      </c>
      <c r="G192" s="23" t="s">
        <v>12</v>
      </c>
      <c r="H192" s="23" t="s">
        <v>14</v>
      </c>
      <c r="I192" s="23">
        <f>IFERROR(INDEX('التقسيم Layout'!$J$4:$J$9,MATCH(C192,'التقسيم Layout'!$B$4:$B$9,0)),"")</f>
        <v>175</v>
      </c>
    </row>
    <row r="193" spans="1:9" ht="17.25" thickTop="1" thickBot="1" x14ac:dyDescent="0.25">
      <c r="A193" s="23">
        <v>189</v>
      </c>
      <c r="B193" s="26" t="s">
        <v>246</v>
      </c>
      <c r="C193" s="28" t="s">
        <v>17</v>
      </c>
      <c r="D193" s="23" t="s">
        <v>22</v>
      </c>
      <c r="E193" s="23" t="s">
        <v>65</v>
      </c>
      <c r="F193" s="23">
        <v>19</v>
      </c>
      <c r="G193" s="23" t="s">
        <v>12</v>
      </c>
      <c r="H193" s="23" t="s">
        <v>14</v>
      </c>
      <c r="I193" s="23">
        <f>IFERROR(INDEX('التقسيم Layout'!$J$4:$J$9,MATCH(C193,'التقسيم Layout'!$B$4:$B$9,0)),"")</f>
        <v>175</v>
      </c>
    </row>
    <row r="194" spans="1:9" ht="17.25" thickTop="1" thickBot="1" x14ac:dyDescent="0.25">
      <c r="A194" s="23">
        <v>190</v>
      </c>
      <c r="B194" s="26" t="s">
        <v>247</v>
      </c>
      <c r="C194" s="28" t="s">
        <v>17</v>
      </c>
      <c r="D194" s="23" t="s">
        <v>26</v>
      </c>
      <c r="E194" s="23" t="s">
        <v>67</v>
      </c>
      <c r="F194" s="23">
        <v>19</v>
      </c>
      <c r="G194" s="23" t="s">
        <v>12</v>
      </c>
      <c r="H194" s="23" t="s">
        <v>14</v>
      </c>
      <c r="I194" s="23">
        <f>IFERROR(INDEX('التقسيم Layout'!$J$4:$J$9,MATCH(C194,'التقسيم Layout'!$B$4:$B$9,0)),"")</f>
        <v>175</v>
      </c>
    </row>
    <row r="195" spans="1:9" ht="17.25" thickTop="1" thickBot="1" x14ac:dyDescent="0.25">
      <c r="A195" s="23">
        <v>191</v>
      </c>
      <c r="B195" s="26" t="s">
        <v>248</v>
      </c>
      <c r="C195" s="29" t="s">
        <v>20</v>
      </c>
      <c r="D195" s="23" t="s">
        <v>13</v>
      </c>
      <c r="E195" s="23" t="s">
        <v>59</v>
      </c>
      <c r="F195" s="23">
        <v>1</v>
      </c>
      <c r="G195" s="23" t="s">
        <v>19</v>
      </c>
      <c r="H195" s="23" t="s">
        <v>14</v>
      </c>
      <c r="I195" s="23">
        <f>IFERROR(INDEX('التقسيم Layout'!$J$4:$J$9,MATCH(C195,'التقسيم Layout'!$B$4:$B$9,0)),"")</f>
        <v>175</v>
      </c>
    </row>
    <row r="196" spans="1:9" ht="17.25" thickTop="1" thickBot="1" x14ac:dyDescent="0.25">
      <c r="A196" s="23">
        <v>192</v>
      </c>
      <c r="B196" s="26" t="s">
        <v>249</v>
      </c>
      <c r="C196" s="29" t="s">
        <v>20</v>
      </c>
      <c r="D196" s="23" t="s">
        <v>17</v>
      </c>
      <c r="E196" s="23" t="s">
        <v>61</v>
      </c>
      <c r="F196" s="23">
        <v>1</v>
      </c>
      <c r="G196" s="23" t="s">
        <v>19</v>
      </c>
      <c r="H196" s="23" t="s">
        <v>14</v>
      </c>
      <c r="I196" s="23">
        <f>IFERROR(INDEX('التقسيم Layout'!$J$4:$J$9,MATCH(C196,'التقسيم Layout'!$B$4:$B$9,0)),"")</f>
        <v>175</v>
      </c>
    </row>
    <row r="197" spans="1:9" ht="17.25" thickTop="1" thickBot="1" x14ac:dyDescent="0.25">
      <c r="A197" s="23">
        <v>193</v>
      </c>
      <c r="B197" s="26" t="s">
        <v>250</v>
      </c>
      <c r="C197" s="29" t="s">
        <v>20</v>
      </c>
      <c r="D197" s="23" t="s">
        <v>20</v>
      </c>
      <c r="E197" s="23" t="s">
        <v>63</v>
      </c>
      <c r="F197" s="23">
        <v>1</v>
      </c>
      <c r="G197" s="23" t="s">
        <v>19</v>
      </c>
      <c r="H197" s="23" t="s">
        <v>14</v>
      </c>
      <c r="I197" s="23">
        <f>IFERROR(INDEX('التقسيم Layout'!$J$4:$J$9,MATCH(C197,'التقسيم Layout'!$B$4:$B$9,0)),"")</f>
        <v>175</v>
      </c>
    </row>
    <row r="198" spans="1:9" ht="17.25" thickTop="1" thickBot="1" x14ac:dyDescent="0.25">
      <c r="A198" s="23">
        <v>194</v>
      </c>
      <c r="B198" s="26" t="s">
        <v>251</v>
      </c>
      <c r="C198" s="29" t="s">
        <v>20</v>
      </c>
      <c r="D198" s="23" t="s">
        <v>22</v>
      </c>
      <c r="E198" s="23" t="s">
        <v>65</v>
      </c>
      <c r="F198" s="23">
        <v>1</v>
      </c>
      <c r="G198" s="23" t="s">
        <v>19</v>
      </c>
      <c r="H198" s="23" t="s">
        <v>14</v>
      </c>
      <c r="I198" s="23">
        <f>IFERROR(INDEX('التقسيم Layout'!$J$4:$J$9,MATCH(C198,'التقسيم Layout'!$B$4:$B$9,0)),"")</f>
        <v>175</v>
      </c>
    </row>
    <row r="199" spans="1:9" ht="17.25" thickTop="1" thickBot="1" x14ac:dyDescent="0.25">
      <c r="A199" s="23">
        <v>195</v>
      </c>
      <c r="B199" s="26" t="s">
        <v>252</v>
      </c>
      <c r="C199" s="29" t="s">
        <v>20</v>
      </c>
      <c r="D199" s="23" t="s">
        <v>26</v>
      </c>
      <c r="E199" s="23" t="s">
        <v>67</v>
      </c>
      <c r="F199" s="23">
        <v>1</v>
      </c>
      <c r="G199" s="23" t="s">
        <v>19</v>
      </c>
      <c r="H199" s="23" t="s">
        <v>14</v>
      </c>
      <c r="I199" s="23">
        <f>IFERROR(INDEX('التقسيم Layout'!$J$4:$J$9,MATCH(C199,'التقسيم Layout'!$B$4:$B$9,0)),"")</f>
        <v>175</v>
      </c>
    </row>
    <row r="200" spans="1:9" ht="17.25" thickTop="1" thickBot="1" x14ac:dyDescent="0.25">
      <c r="A200" s="23">
        <v>196</v>
      </c>
      <c r="B200" s="26" t="s">
        <v>253</v>
      </c>
      <c r="C200" s="29" t="s">
        <v>20</v>
      </c>
      <c r="D200" s="23" t="s">
        <v>13</v>
      </c>
      <c r="E200" s="23" t="s">
        <v>59</v>
      </c>
      <c r="F200" s="23">
        <v>2</v>
      </c>
      <c r="G200" s="23" t="s">
        <v>19</v>
      </c>
      <c r="H200" s="23" t="s">
        <v>14</v>
      </c>
      <c r="I200" s="23">
        <f>IFERROR(INDEX('التقسيم Layout'!$J$4:$J$9,MATCH(C200,'التقسيم Layout'!$B$4:$B$9,0)),"")</f>
        <v>175</v>
      </c>
    </row>
    <row r="201" spans="1:9" ht="17.25" thickTop="1" thickBot="1" x14ac:dyDescent="0.25">
      <c r="A201" s="23">
        <v>197</v>
      </c>
      <c r="B201" s="26" t="s">
        <v>254</v>
      </c>
      <c r="C201" s="29" t="s">
        <v>20</v>
      </c>
      <c r="D201" s="23" t="s">
        <v>17</v>
      </c>
      <c r="E201" s="23" t="s">
        <v>61</v>
      </c>
      <c r="F201" s="23">
        <v>2</v>
      </c>
      <c r="G201" s="23" t="s">
        <v>19</v>
      </c>
      <c r="H201" s="23" t="s">
        <v>14</v>
      </c>
      <c r="I201" s="23">
        <f>IFERROR(INDEX('التقسيم Layout'!$J$4:$J$9,MATCH(C201,'التقسيم Layout'!$B$4:$B$9,0)),"")</f>
        <v>175</v>
      </c>
    </row>
    <row r="202" spans="1:9" ht="17.25" thickTop="1" thickBot="1" x14ac:dyDescent="0.25">
      <c r="A202" s="23">
        <v>198</v>
      </c>
      <c r="B202" s="26" t="s">
        <v>255</v>
      </c>
      <c r="C202" s="29" t="s">
        <v>20</v>
      </c>
      <c r="D202" s="23" t="s">
        <v>20</v>
      </c>
      <c r="E202" s="23" t="s">
        <v>63</v>
      </c>
      <c r="F202" s="23">
        <v>2</v>
      </c>
      <c r="G202" s="23" t="s">
        <v>19</v>
      </c>
      <c r="H202" s="23" t="s">
        <v>14</v>
      </c>
      <c r="I202" s="23">
        <f>IFERROR(INDEX('التقسيم Layout'!$J$4:$J$9,MATCH(C202,'التقسيم Layout'!$B$4:$B$9,0)),"")</f>
        <v>175</v>
      </c>
    </row>
    <row r="203" spans="1:9" ht="17.25" thickTop="1" thickBot="1" x14ac:dyDescent="0.25">
      <c r="A203" s="23">
        <v>199</v>
      </c>
      <c r="B203" s="26" t="s">
        <v>256</v>
      </c>
      <c r="C203" s="29" t="s">
        <v>20</v>
      </c>
      <c r="D203" s="23" t="s">
        <v>22</v>
      </c>
      <c r="E203" s="23" t="s">
        <v>65</v>
      </c>
      <c r="F203" s="23">
        <v>2</v>
      </c>
      <c r="G203" s="23" t="s">
        <v>19</v>
      </c>
      <c r="H203" s="23" t="s">
        <v>14</v>
      </c>
      <c r="I203" s="23">
        <f>IFERROR(INDEX('التقسيم Layout'!$J$4:$J$9,MATCH(C203,'التقسيم Layout'!$B$4:$B$9,0)),"")</f>
        <v>175</v>
      </c>
    </row>
    <row r="204" spans="1:9" ht="17.25" thickTop="1" thickBot="1" x14ac:dyDescent="0.25">
      <c r="A204" s="23">
        <v>200</v>
      </c>
      <c r="B204" s="26" t="s">
        <v>257</v>
      </c>
      <c r="C204" s="29" t="s">
        <v>20</v>
      </c>
      <c r="D204" s="23" t="s">
        <v>26</v>
      </c>
      <c r="E204" s="23" t="s">
        <v>67</v>
      </c>
      <c r="F204" s="23">
        <v>2</v>
      </c>
      <c r="G204" s="23" t="s">
        <v>19</v>
      </c>
      <c r="H204" s="23" t="s">
        <v>14</v>
      </c>
      <c r="I204" s="23">
        <f>IFERROR(INDEX('التقسيم Layout'!$J$4:$J$9,MATCH(C204,'التقسيم Layout'!$B$4:$B$9,0)),"")</f>
        <v>175</v>
      </c>
    </row>
    <row r="205" spans="1:9" ht="17.25" thickTop="1" thickBot="1" x14ac:dyDescent="0.25">
      <c r="A205" s="23">
        <v>201</v>
      </c>
      <c r="B205" s="26" t="s">
        <v>258</v>
      </c>
      <c r="C205" s="29" t="s">
        <v>20</v>
      </c>
      <c r="D205" s="23" t="s">
        <v>13</v>
      </c>
      <c r="E205" s="23" t="s">
        <v>59</v>
      </c>
      <c r="F205" s="23">
        <v>3</v>
      </c>
      <c r="G205" s="23" t="s">
        <v>19</v>
      </c>
      <c r="H205" s="23" t="s">
        <v>14</v>
      </c>
      <c r="I205" s="23">
        <f>IFERROR(INDEX('التقسيم Layout'!$J$4:$J$9,MATCH(C205,'التقسيم Layout'!$B$4:$B$9,0)),"")</f>
        <v>175</v>
      </c>
    </row>
    <row r="206" spans="1:9" ht="17.25" thickTop="1" thickBot="1" x14ac:dyDescent="0.25">
      <c r="A206" s="23">
        <v>202</v>
      </c>
      <c r="B206" s="26" t="s">
        <v>259</v>
      </c>
      <c r="C206" s="29" t="s">
        <v>20</v>
      </c>
      <c r="D206" s="23" t="s">
        <v>17</v>
      </c>
      <c r="E206" s="23" t="s">
        <v>61</v>
      </c>
      <c r="F206" s="23">
        <v>3</v>
      </c>
      <c r="G206" s="23" t="s">
        <v>19</v>
      </c>
      <c r="H206" s="23" t="s">
        <v>14</v>
      </c>
      <c r="I206" s="23">
        <f>IFERROR(INDEX('التقسيم Layout'!$J$4:$J$9,MATCH(C206,'التقسيم Layout'!$B$4:$B$9,0)),"")</f>
        <v>175</v>
      </c>
    </row>
    <row r="207" spans="1:9" ht="17.25" thickTop="1" thickBot="1" x14ac:dyDescent="0.25">
      <c r="A207" s="23">
        <v>203</v>
      </c>
      <c r="B207" s="26" t="s">
        <v>260</v>
      </c>
      <c r="C207" s="29" t="s">
        <v>20</v>
      </c>
      <c r="D207" s="23" t="s">
        <v>20</v>
      </c>
      <c r="E207" s="23" t="s">
        <v>63</v>
      </c>
      <c r="F207" s="23">
        <v>3</v>
      </c>
      <c r="G207" s="23" t="s">
        <v>19</v>
      </c>
      <c r="H207" s="23" t="s">
        <v>14</v>
      </c>
      <c r="I207" s="23">
        <f>IFERROR(INDEX('التقسيم Layout'!$J$4:$J$9,MATCH(C207,'التقسيم Layout'!$B$4:$B$9,0)),"")</f>
        <v>175</v>
      </c>
    </row>
    <row r="208" spans="1:9" ht="17.25" thickTop="1" thickBot="1" x14ac:dyDescent="0.25">
      <c r="A208" s="23">
        <v>204</v>
      </c>
      <c r="B208" s="26" t="s">
        <v>261</v>
      </c>
      <c r="C208" s="29" t="s">
        <v>20</v>
      </c>
      <c r="D208" s="23" t="s">
        <v>22</v>
      </c>
      <c r="E208" s="23" t="s">
        <v>65</v>
      </c>
      <c r="F208" s="23">
        <v>3</v>
      </c>
      <c r="G208" s="23" t="s">
        <v>19</v>
      </c>
      <c r="H208" s="23" t="s">
        <v>14</v>
      </c>
      <c r="I208" s="23">
        <f>IFERROR(INDEX('التقسيم Layout'!$J$4:$J$9,MATCH(C208,'التقسيم Layout'!$B$4:$B$9,0)),"")</f>
        <v>175</v>
      </c>
    </row>
    <row r="209" spans="1:9" ht="17.25" thickTop="1" thickBot="1" x14ac:dyDescent="0.25">
      <c r="A209" s="23">
        <v>205</v>
      </c>
      <c r="B209" s="26" t="s">
        <v>262</v>
      </c>
      <c r="C209" s="29" t="s">
        <v>20</v>
      </c>
      <c r="D209" s="23" t="s">
        <v>26</v>
      </c>
      <c r="E209" s="23" t="s">
        <v>67</v>
      </c>
      <c r="F209" s="23">
        <v>3</v>
      </c>
      <c r="G209" s="23" t="s">
        <v>19</v>
      </c>
      <c r="H209" s="23" t="s">
        <v>14</v>
      </c>
      <c r="I209" s="23">
        <f>IFERROR(INDEX('التقسيم Layout'!$J$4:$J$9,MATCH(C209,'التقسيم Layout'!$B$4:$B$9,0)),"")</f>
        <v>175</v>
      </c>
    </row>
    <row r="210" spans="1:9" ht="17.25" thickTop="1" thickBot="1" x14ac:dyDescent="0.25">
      <c r="A210" s="23">
        <v>206</v>
      </c>
      <c r="B210" s="26" t="s">
        <v>263</v>
      </c>
      <c r="C210" s="29" t="s">
        <v>20</v>
      </c>
      <c r="D210" s="23" t="s">
        <v>13</v>
      </c>
      <c r="E210" s="23" t="s">
        <v>59</v>
      </c>
      <c r="F210" s="23">
        <v>4</v>
      </c>
      <c r="G210" s="23" t="s">
        <v>19</v>
      </c>
      <c r="H210" s="23" t="s">
        <v>14</v>
      </c>
      <c r="I210" s="23">
        <f>IFERROR(INDEX('التقسيم Layout'!$J$4:$J$9,MATCH(C210,'التقسيم Layout'!$B$4:$B$9,0)),"")</f>
        <v>175</v>
      </c>
    </row>
    <row r="211" spans="1:9" ht="17.25" thickTop="1" thickBot="1" x14ac:dyDescent="0.25">
      <c r="A211" s="23">
        <v>207</v>
      </c>
      <c r="B211" s="26" t="s">
        <v>264</v>
      </c>
      <c r="C211" s="29" t="s">
        <v>20</v>
      </c>
      <c r="D211" s="23" t="s">
        <v>17</v>
      </c>
      <c r="E211" s="23" t="s">
        <v>61</v>
      </c>
      <c r="F211" s="23">
        <v>4</v>
      </c>
      <c r="G211" s="23" t="s">
        <v>19</v>
      </c>
      <c r="H211" s="23" t="s">
        <v>14</v>
      </c>
      <c r="I211" s="23">
        <f>IFERROR(INDEX('التقسيم Layout'!$J$4:$J$9,MATCH(C211,'التقسيم Layout'!$B$4:$B$9,0)),"")</f>
        <v>175</v>
      </c>
    </row>
    <row r="212" spans="1:9" ht="17.25" thickTop="1" thickBot="1" x14ac:dyDescent="0.25">
      <c r="A212" s="23">
        <v>208</v>
      </c>
      <c r="B212" s="26" t="s">
        <v>265</v>
      </c>
      <c r="C212" s="29" t="s">
        <v>20</v>
      </c>
      <c r="D212" s="23" t="s">
        <v>20</v>
      </c>
      <c r="E212" s="23" t="s">
        <v>63</v>
      </c>
      <c r="F212" s="23">
        <v>4</v>
      </c>
      <c r="G212" s="23" t="s">
        <v>19</v>
      </c>
      <c r="H212" s="23" t="s">
        <v>14</v>
      </c>
      <c r="I212" s="23">
        <f>IFERROR(INDEX('التقسيم Layout'!$J$4:$J$9,MATCH(C212,'التقسيم Layout'!$B$4:$B$9,0)),"")</f>
        <v>175</v>
      </c>
    </row>
    <row r="213" spans="1:9" ht="17.25" thickTop="1" thickBot="1" x14ac:dyDescent="0.25">
      <c r="A213" s="23">
        <v>209</v>
      </c>
      <c r="B213" s="26" t="s">
        <v>266</v>
      </c>
      <c r="C213" s="29" t="s">
        <v>20</v>
      </c>
      <c r="D213" s="23" t="s">
        <v>22</v>
      </c>
      <c r="E213" s="23" t="s">
        <v>65</v>
      </c>
      <c r="F213" s="23">
        <v>4</v>
      </c>
      <c r="G213" s="23" t="s">
        <v>19</v>
      </c>
      <c r="H213" s="23" t="s">
        <v>14</v>
      </c>
      <c r="I213" s="23">
        <f>IFERROR(INDEX('التقسيم Layout'!$J$4:$J$9,MATCH(C213,'التقسيم Layout'!$B$4:$B$9,0)),"")</f>
        <v>175</v>
      </c>
    </row>
    <row r="214" spans="1:9" ht="17.25" thickTop="1" thickBot="1" x14ac:dyDescent="0.25">
      <c r="A214" s="23">
        <v>210</v>
      </c>
      <c r="B214" s="26" t="s">
        <v>267</v>
      </c>
      <c r="C214" s="29" t="s">
        <v>20</v>
      </c>
      <c r="D214" s="23" t="s">
        <v>26</v>
      </c>
      <c r="E214" s="23" t="s">
        <v>67</v>
      </c>
      <c r="F214" s="23">
        <v>4</v>
      </c>
      <c r="G214" s="23" t="s">
        <v>19</v>
      </c>
      <c r="H214" s="23" t="s">
        <v>14</v>
      </c>
      <c r="I214" s="23">
        <f>IFERROR(INDEX('التقسيم Layout'!$J$4:$J$9,MATCH(C214,'التقسيم Layout'!$B$4:$B$9,0)),"")</f>
        <v>175</v>
      </c>
    </row>
    <row r="215" spans="1:9" ht="17.25" thickTop="1" thickBot="1" x14ac:dyDescent="0.25">
      <c r="A215" s="23">
        <v>211</v>
      </c>
      <c r="B215" s="26" t="s">
        <v>268</v>
      </c>
      <c r="C215" s="29" t="s">
        <v>20</v>
      </c>
      <c r="D215" s="23" t="s">
        <v>13</v>
      </c>
      <c r="E215" s="23" t="s">
        <v>59</v>
      </c>
      <c r="F215" s="23">
        <v>5</v>
      </c>
      <c r="G215" s="23" t="s">
        <v>19</v>
      </c>
      <c r="H215" s="23" t="s">
        <v>14</v>
      </c>
      <c r="I215" s="23">
        <f>IFERROR(INDEX('التقسيم Layout'!$J$4:$J$9,MATCH(C215,'التقسيم Layout'!$B$4:$B$9,0)),"")</f>
        <v>175</v>
      </c>
    </row>
    <row r="216" spans="1:9" ht="17.25" thickTop="1" thickBot="1" x14ac:dyDescent="0.25">
      <c r="A216" s="23">
        <v>212</v>
      </c>
      <c r="B216" s="26" t="s">
        <v>269</v>
      </c>
      <c r="C216" s="29" t="s">
        <v>20</v>
      </c>
      <c r="D216" s="23" t="s">
        <v>17</v>
      </c>
      <c r="E216" s="23" t="s">
        <v>61</v>
      </c>
      <c r="F216" s="23">
        <v>5</v>
      </c>
      <c r="G216" s="23" t="s">
        <v>19</v>
      </c>
      <c r="H216" s="23" t="s">
        <v>14</v>
      </c>
      <c r="I216" s="23">
        <f>IFERROR(INDEX('التقسيم Layout'!$J$4:$J$9,MATCH(C216,'التقسيم Layout'!$B$4:$B$9,0)),"")</f>
        <v>175</v>
      </c>
    </row>
    <row r="217" spans="1:9" ht="17.25" thickTop="1" thickBot="1" x14ac:dyDescent="0.25">
      <c r="A217" s="23">
        <v>213</v>
      </c>
      <c r="B217" s="26" t="s">
        <v>270</v>
      </c>
      <c r="C217" s="29" t="s">
        <v>20</v>
      </c>
      <c r="D217" s="23" t="s">
        <v>20</v>
      </c>
      <c r="E217" s="23" t="s">
        <v>63</v>
      </c>
      <c r="F217" s="23">
        <v>5</v>
      </c>
      <c r="G217" s="23" t="s">
        <v>19</v>
      </c>
      <c r="H217" s="23" t="s">
        <v>14</v>
      </c>
      <c r="I217" s="23">
        <f>IFERROR(INDEX('التقسيم Layout'!$J$4:$J$9,MATCH(C217,'التقسيم Layout'!$B$4:$B$9,0)),"")</f>
        <v>175</v>
      </c>
    </row>
    <row r="218" spans="1:9" ht="17.25" thickTop="1" thickBot="1" x14ac:dyDescent="0.25">
      <c r="A218" s="23">
        <v>214</v>
      </c>
      <c r="B218" s="26" t="s">
        <v>271</v>
      </c>
      <c r="C218" s="29" t="s">
        <v>20</v>
      </c>
      <c r="D218" s="23" t="s">
        <v>22</v>
      </c>
      <c r="E218" s="23" t="s">
        <v>65</v>
      </c>
      <c r="F218" s="23">
        <v>5</v>
      </c>
      <c r="G218" s="23" t="s">
        <v>19</v>
      </c>
      <c r="H218" s="23" t="s">
        <v>14</v>
      </c>
      <c r="I218" s="23">
        <f>IFERROR(INDEX('التقسيم Layout'!$J$4:$J$9,MATCH(C218,'التقسيم Layout'!$B$4:$B$9,0)),"")</f>
        <v>175</v>
      </c>
    </row>
    <row r="219" spans="1:9" ht="17.25" thickTop="1" thickBot="1" x14ac:dyDescent="0.25">
      <c r="A219" s="23">
        <v>215</v>
      </c>
      <c r="B219" s="26" t="s">
        <v>272</v>
      </c>
      <c r="C219" s="29" t="s">
        <v>20</v>
      </c>
      <c r="D219" s="23" t="s">
        <v>26</v>
      </c>
      <c r="E219" s="23" t="s">
        <v>67</v>
      </c>
      <c r="F219" s="23">
        <v>5</v>
      </c>
      <c r="G219" s="23" t="s">
        <v>19</v>
      </c>
      <c r="H219" s="23" t="s">
        <v>14</v>
      </c>
      <c r="I219" s="23">
        <f>IFERROR(INDEX('التقسيم Layout'!$J$4:$J$9,MATCH(C219,'التقسيم Layout'!$B$4:$B$9,0)),"")</f>
        <v>175</v>
      </c>
    </row>
    <row r="220" spans="1:9" ht="17.25" thickTop="1" thickBot="1" x14ac:dyDescent="0.25">
      <c r="A220" s="23">
        <v>216</v>
      </c>
      <c r="B220" s="26" t="s">
        <v>273</v>
      </c>
      <c r="C220" s="29" t="s">
        <v>20</v>
      </c>
      <c r="D220" s="23" t="s">
        <v>13</v>
      </c>
      <c r="E220" s="23" t="s">
        <v>59</v>
      </c>
      <c r="F220" s="23">
        <v>6</v>
      </c>
      <c r="G220" s="23" t="s">
        <v>19</v>
      </c>
      <c r="H220" s="23" t="s">
        <v>14</v>
      </c>
      <c r="I220" s="23">
        <f>IFERROR(INDEX('التقسيم Layout'!$J$4:$J$9,MATCH(C220,'التقسيم Layout'!$B$4:$B$9,0)),"")</f>
        <v>175</v>
      </c>
    </row>
    <row r="221" spans="1:9" ht="17.25" thickTop="1" thickBot="1" x14ac:dyDescent="0.25">
      <c r="A221" s="23">
        <v>217</v>
      </c>
      <c r="B221" s="26" t="s">
        <v>274</v>
      </c>
      <c r="C221" s="29" t="s">
        <v>20</v>
      </c>
      <c r="D221" s="23" t="s">
        <v>17</v>
      </c>
      <c r="E221" s="23" t="s">
        <v>61</v>
      </c>
      <c r="F221" s="23">
        <v>6</v>
      </c>
      <c r="G221" s="23" t="s">
        <v>19</v>
      </c>
      <c r="H221" s="23" t="s">
        <v>14</v>
      </c>
      <c r="I221" s="23">
        <f>IFERROR(INDEX('التقسيم Layout'!$J$4:$J$9,MATCH(C221,'التقسيم Layout'!$B$4:$B$9,0)),"")</f>
        <v>175</v>
      </c>
    </row>
    <row r="222" spans="1:9" ht="17.25" thickTop="1" thickBot="1" x14ac:dyDescent="0.25">
      <c r="A222" s="23">
        <v>218</v>
      </c>
      <c r="B222" s="26" t="s">
        <v>275</v>
      </c>
      <c r="C222" s="29" t="s">
        <v>20</v>
      </c>
      <c r="D222" s="23" t="s">
        <v>20</v>
      </c>
      <c r="E222" s="23" t="s">
        <v>63</v>
      </c>
      <c r="F222" s="23">
        <v>6</v>
      </c>
      <c r="G222" s="23" t="s">
        <v>19</v>
      </c>
      <c r="H222" s="23" t="s">
        <v>14</v>
      </c>
      <c r="I222" s="23">
        <f>IFERROR(INDEX('التقسيم Layout'!$J$4:$J$9,MATCH(C222,'التقسيم Layout'!$B$4:$B$9,0)),"")</f>
        <v>175</v>
      </c>
    </row>
    <row r="223" spans="1:9" ht="17.25" thickTop="1" thickBot="1" x14ac:dyDescent="0.25">
      <c r="A223" s="23">
        <v>219</v>
      </c>
      <c r="B223" s="26" t="s">
        <v>276</v>
      </c>
      <c r="C223" s="29" t="s">
        <v>20</v>
      </c>
      <c r="D223" s="23" t="s">
        <v>22</v>
      </c>
      <c r="E223" s="23" t="s">
        <v>65</v>
      </c>
      <c r="F223" s="23">
        <v>6</v>
      </c>
      <c r="G223" s="23" t="s">
        <v>19</v>
      </c>
      <c r="H223" s="23" t="s">
        <v>14</v>
      </c>
      <c r="I223" s="23">
        <f>IFERROR(INDEX('التقسيم Layout'!$J$4:$J$9,MATCH(C223,'التقسيم Layout'!$B$4:$B$9,0)),"")</f>
        <v>175</v>
      </c>
    </row>
    <row r="224" spans="1:9" ht="17.25" thickTop="1" thickBot="1" x14ac:dyDescent="0.25">
      <c r="A224" s="23">
        <v>220</v>
      </c>
      <c r="B224" s="26" t="s">
        <v>277</v>
      </c>
      <c r="C224" s="29" t="s">
        <v>20</v>
      </c>
      <c r="D224" s="23" t="s">
        <v>26</v>
      </c>
      <c r="E224" s="23" t="s">
        <v>67</v>
      </c>
      <c r="F224" s="23">
        <v>6</v>
      </c>
      <c r="G224" s="23" t="s">
        <v>19</v>
      </c>
      <c r="H224" s="23" t="s">
        <v>14</v>
      </c>
      <c r="I224" s="23">
        <f>IFERROR(INDEX('التقسيم Layout'!$J$4:$J$9,MATCH(C224,'التقسيم Layout'!$B$4:$B$9,0)),"")</f>
        <v>175</v>
      </c>
    </row>
    <row r="225" spans="1:9" ht="17.25" thickTop="1" thickBot="1" x14ac:dyDescent="0.25">
      <c r="A225" s="23">
        <v>221</v>
      </c>
      <c r="B225" s="26" t="s">
        <v>278</v>
      </c>
      <c r="C225" s="29" t="s">
        <v>20</v>
      </c>
      <c r="D225" s="23" t="s">
        <v>13</v>
      </c>
      <c r="E225" s="23" t="s">
        <v>59</v>
      </c>
      <c r="F225" s="23">
        <v>7</v>
      </c>
      <c r="G225" s="23" t="s">
        <v>19</v>
      </c>
      <c r="H225" s="23" t="s">
        <v>14</v>
      </c>
      <c r="I225" s="23">
        <f>IFERROR(INDEX('التقسيم Layout'!$J$4:$J$9,MATCH(C225,'التقسيم Layout'!$B$4:$B$9,0)),"")</f>
        <v>175</v>
      </c>
    </row>
    <row r="226" spans="1:9" ht="17.25" thickTop="1" thickBot="1" x14ac:dyDescent="0.25">
      <c r="A226" s="23">
        <v>222</v>
      </c>
      <c r="B226" s="26" t="s">
        <v>279</v>
      </c>
      <c r="C226" s="29" t="s">
        <v>20</v>
      </c>
      <c r="D226" s="23" t="s">
        <v>17</v>
      </c>
      <c r="E226" s="23" t="s">
        <v>61</v>
      </c>
      <c r="F226" s="23">
        <v>7</v>
      </c>
      <c r="G226" s="23" t="s">
        <v>19</v>
      </c>
      <c r="H226" s="23" t="s">
        <v>14</v>
      </c>
      <c r="I226" s="23">
        <f>IFERROR(INDEX('التقسيم Layout'!$J$4:$J$9,MATCH(C226,'التقسيم Layout'!$B$4:$B$9,0)),"")</f>
        <v>175</v>
      </c>
    </row>
    <row r="227" spans="1:9" ht="17.25" thickTop="1" thickBot="1" x14ac:dyDescent="0.25">
      <c r="A227" s="23">
        <v>223</v>
      </c>
      <c r="B227" s="26" t="s">
        <v>280</v>
      </c>
      <c r="C227" s="29" t="s">
        <v>20</v>
      </c>
      <c r="D227" s="23" t="s">
        <v>20</v>
      </c>
      <c r="E227" s="23" t="s">
        <v>63</v>
      </c>
      <c r="F227" s="23">
        <v>7</v>
      </c>
      <c r="G227" s="23" t="s">
        <v>19</v>
      </c>
      <c r="H227" s="23" t="s">
        <v>14</v>
      </c>
      <c r="I227" s="23">
        <f>IFERROR(INDEX('التقسيم Layout'!$J$4:$J$9,MATCH(C227,'التقسيم Layout'!$B$4:$B$9,0)),"")</f>
        <v>175</v>
      </c>
    </row>
    <row r="228" spans="1:9" ht="17.25" thickTop="1" thickBot="1" x14ac:dyDescent="0.25">
      <c r="A228" s="23">
        <v>224</v>
      </c>
      <c r="B228" s="26" t="s">
        <v>281</v>
      </c>
      <c r="C228" s="29" t="s">
        <v>20</v>
      </c>
      <c r="D228" s="23" t="s">
        <v>22</v>
      </c>
      <c r="E228" s="23" t="s">
        <v>65</v>
      </c>
      <c r="F228" s="23">
        <v>7</v>
      </c>
      <c r="G228" s="23" t="s">
        <v>19</v>
      </c>
      <c r="H228" s="23" t="s">
        <v>14</v>
      </c>
      <c r="I228" s="23">
        <f>IFERROR(INDEX('التقسيم Layout'!$J$4:$J$9,MATCH(C228,'التقسيم Layout'!$B$4:$B$9,0)),"")</f>
        <v>175</v>
      </c>
    </row>
    <row r="229" spans="1:9" ht="17.25" thickTop="1" thickBot="1" x14ac:dyDescent="0.25">
      <c r="A229" s="23">
        <v>225</v>
      </c>
      <c r="B229" s="26" t="s">
        <v>282</v>
      </c>
      <c r="C229" s="29" t="s">
        <v>20</v>
      </c>
      <c r="D229" s="23" t="s">
        <v>26</v>
      </c>
      <c r="E229" s="23" t="s">
        <v>67</v>
      </c>
      <c r="F229" s="23">
        <v>7</v>
      </c>
      <c r="G229" s="23" t="s">
        <v>19</v>
      </c>
      <c r="H229" s="23" t="s">
        <v>14</v>
      </c>
      <c r="I229" s="23">
        <f>IFERROR(INDEX('التقسيم Layout'!$J$4:$J$9,MATCH(C229,'التقسيم Layout'!$B$4:$B$9,0)),"")</f>
        <v>175</v>
      </c>
    </row>
    <row r="230" spans="1:9" ht="17.25" thickTop="1" thickBot="1" x14ac:dyDescent="0.25">
      <c r="A230" s="23">
        <v>226</v>
      </c>
      <c r="B230" s="26" t="s">
        <v>283</v>
      </c>
      <c r="C230" s="29" t="s">
        <v>20</v>
      </c>
      <c r="D230" s="23" t="s">
        <v>13</v>
      </c>
      <c r="E230" s="23" t="s">
        <v>59</v>
      </c>
      <c r="F230" s="23">
        <v>8</v>
      </c>
      <c r="G230" s="23" t="s">
        <v>19</v>
      </c>
      <c r="H230" s="23" t="s">
        <v>14</v>
      </c>
      <c r="I230" s="23">
        <f>IFERROR(INDEX('التقسيم Layout'!$J$4:$J$9,MATCH(C230,'التقسيم Layout'!$B$4:$B$9,0)),"")</f>
        <v>175</v>
      </c>
    </row>
    <row r="231" spans="1:9" ht="17.25" thickTop="1" thickBot="1" x14ac:dyDescent="0.25">
      <c r="A231" s="23">
        <v>227</v>
      </c>
      <c r="B231" s="26" t="s">
        <v>284</v>
      </c>
      <c r="C231" s="29" t="s">
        <v>20</v>
      </c>
      <c r="D231" s="23" t="s">
        <v>17</v>
      </c>
      <c r="E231" s="23" t="s">
        <v>61</v>
      </c>
      <c r="F231" s="23">
        <v>8</v>
      </c>
      <c r="G231" s="23" t="s">
        <v>19</v>
      </c>
      <c r="H231" s="23" t="s">
        <v>14</v>
      </c>
      <c r="I231" s="23">
        <f>IFERROR(INDEX('التقسيم Layout'!$J$4:$J$9,MATCH(C231,'التقسيم Layout'!$B$4:$B$9,0)),"")</f>
        <v>175</v>
      </c>
    </row>
    <row r="232" spans="1:9" ht="17.25" thickTop="1" thickBot="1" x14ac:dyDescent="0.25">
      <c r="A232" s="23">
        <v>228</v>
      </c>
      <c r="B232" s="26" t="s">
        <v>285</v>
      </c>
      <c r="C232" s="29" t="s">
        <v>20</v>
      </c>
      <c r="D232" s="23" t="s">
        <v>20</v>
      </c>
      <c r="E232" s="23" t="s">
        <v>63</v>
      </c>
      <c r="F232" s="23">
        <v>8</v>
      </c>
      <c r="G232" s="23" t="s">
        <v>19</v>
      </c>
      <c r="H232" s="23" t="s">
        <v>14</v>
      </c>
      <c r="I232" s="23">
        <f>IFERROR(INDEX('التقسيم Layout'!$J$4:$J$9,MATCH(C232,'التقسيم Layout'!$B$4:$B$9,0)),"")</f>
        <v>175</v>
      </c>
    </row>
    <row r="233" spans="1:9" ht="17.25" thickTop="1" thickBot="1" x14ac:dyDescent="0.25">
      <c r="A233" s="23">
        <v>229</v>
      </c>
      <c r="B233" s="26" t="s">
        <v>286</v>
      </c>
      <c r="C233" s="29" t="s">
        <v>20</v>
      </c>
      <c r="D233" s="23" t="s">
        <v>22</v>
      </c>
      <c r="E233" s="23" t="s">
        <v>65</v>
      </c>
      <c r="F233" s="23">
        <v>8</v>
      </c>
      <c r="G233" s="23" t="s">
        <v>19</v>
      </c>
      <c r="H233" s="23" t="s">
        <v>14</v>
      </c>
      <c r="I233" s="23">
        <f>IFERROR(INDEX('التقسيم Layout'!$J$4:$J$9,MATCH(C233,'التقسيم Layout'!$B$4:$B$9,0)),"")</f>
        <v>175</v>
      </c>
    </row>
    <row r="234" spans="1:9" ht="17.25" thickTop="1" thickBot="1" x14ac:dyDescent="0.25">
      <c r="A234" s="23">
        <v>230</v>
      </c>
      <c r="B234" s="26" t="s">
        <v>287</v>
      </c>
      <c r="C234" s="29" t="s">
        <v>20</v>
      </c>
      <c r="D234" s="23" t="s">
        <v>26</v>
      </c>
      <c r="E234" s="23" t="s">
        <v>67</v>
      </c>
      <c r="F234" s="23">
        <v>8</v>
      </c>
      <c r="G234" s="23" t="s">
        <v>19</v>
      </c>
      <c r="H234" s="23" t="s">
        <v>14</v>
      </c>
      <c r="I234" s="23">
        <f>IFERROR(INDEX('التقسيم Layout'!$J$4:$J$9,MATCH(C234,'التقسيم Layout'!$B$4:$B$9,0)),"")</f>
        <v>175</v>
      </c>
    </row>
    <row r="235" spans="1:9" ht="17.25" thickTop="1" thickBot="1" x14ac:dyDescent="0.25">
      <c r="A235" s="23">
        <v>231</v>
      </c>
      <c r="B235" s="26" t="s">
        <v>288</v>
      </c>
      <c r="C235" s="29" t="s">
        <v>20</v>
      </c>
      <c r="D235" s="23" t="s">
        <v>13</v>
      </c>
      <c r="E235" s="23" t="s">
        <v>59</v>
      </c>
      <c r="F235" s="23">
        <v>9</v>
      </c>
      <c r="G235" s="23" t="s">
        <v>19</v>
      </c>
      <c r="H235" s="23" t="s">
        <v>14</v>
      </c>
      <c r="I235" s="23">
        <f>IFERROR(INDEX('التقسيم Layout'!$J$4:$J$9,MATCH(C235,'التقسيم Layout'!$B$4:$B$9,0)),"")</f>
        <v>175</v>
      </c>
    </row>
    <row r="236" spans="1:9" ht="17.25" thickTop="1" thickBot="1" x14ac:dyDescent="0.25">
      <c r="A236" s="23">
        <v>232</v>
      </c>
      <c r="B236" s="26" t="s">
        <v>289</v>
      </c>
      <c r="C236" s="29" t="s">
        <v>20</v>
      </c>
      <c r="D236" s="23" t="s">
        <v>17</v>
      </c>
      <c r="E236" s="23" t="s">
        <v>61</v>
      </c>
      <c r="F236" s="23">
        <v>9</v>
      </c>
      <c r="G236" s="23" t="s">
        <v>19</v>
      </c>
      <c r="H236" s="23" t="s">
        <v>14</v>
      </c>
      <c r="I236" s="23">
        <f>IFERROR(INDEX('التقسيم Layout'!$J$4:$J$9,MATCH(C236,'التقسيم Layout'!$B$4:$B$9,0)),"")</f>
        <v>175</v>
      </c>
    </row>
    <row r="237" spans="1:9" ht="17.25" thickTop="1" thickBot="1" x14ac:dyDescent="0.25">
      <c r="A237" s="23">
        <v>233</v>
      </c>
      <c r="B237" s="26" t="s">
        <v>290</v>
      </c>
      <c r="C237" s="29" t="s">
        <v>20</v>
      </c>
      <c r="D237" s="23" t="s">
        <v>20</v>
      </c>
      <c r="E237" s="23" t="s">
        <v>63</v>
      </c>
      <c r="F237" s="23">
        <v>9</v>
      </c>
      <c r="G237" s="23" t="s">
        <v>19</v>
      </c>
      <c r="H237" s="23" t="s">
        <v>14</v>
      </c>
      <c r="I237" s="23">
        <f>IFERROR(INDEX('التقسيم Layout'!$J$4:$J$9,MATCH(C237,'التقسيم Layout'!$B$4:$B$9,0)),"")</f>
        <v>175</v>
      </c>
    </row>
    <row r="238" spans="1:9" ht="17.25" thickTop="1" thickBot="1" x14ac:dyDescent="0.25">
      <c r="A238" s="23">
        <v>234</v>
      </c>
      <c r="B238" s="26" t="s">
        <v>291</v>
      </c>
      <c r="C238" s="29" t="s">
        <v>20</v>
      </c>
      <c r="D238" s="23" t="s">
        <v>22</v>
      </c>
      <c r="E238" s="23" t="s">
        <v>65</v>
      </c>
      <c r="F238" s="23">
        <v>9</v>
      </c>
      <c r="G238" s="23" t="s">
        <v>19</v>
      </c>
      <c r="H238" s="23" t="s">
        <v>14</v>
      </c>
      <c r="I238" s="23">
        <f>IFERROR(INDEX('التقسيم Layout'!$J$4:$J$9,MATCH(C238,'التقسيم Layout'!$B$4:$B$9,0)),"")</f>
        <v>175</v>
      </c>
    </row>
    <row r="239" spans="1:9" ht="17.25" thickTop="1" thickBot="1" x14ac:dyDescent="0.25">
      <c r="A239" s="23">
        <v>235</v>
      </c>
      <c r="B239" s="26" t="s">
        <v>292</v>
      </c>
      <c r="C239" s="29" t="s">
        <v>20</v>
      </c>
      <c r="D239" s="23" t="s">
        <v>26</v>
      </c>
      <c r="E239" s="23" t="s">
        <v>67</v>
      </c>
      <c r="F239" s="23">
        <v>9</v>
      </c>
      <c r="G239" s="23" t="s">
        <v>19</v>
      </c>
      <c r="H239" s="23" t="s">
        <v>14</v>
      </c>
      <c r="I239" s="23">
        <f>IFERROR(INDEX('التقسيم Layout'!$J$4:$J$9,MATCH(C239,'التقسيم Layout'!$B$4:$B$9,0)),"")</f>
        <v>175</v>
      </c>
    </row>
    <row r="240" spans="1:9" ht="17.25" thickTop="1" thickBot="1" x14ac:dyDescent="0.25">
      <c r="A240" s="23">
        <v>236</v>
      </c>
      <c r="B240" s="26" t="s">
        <v>293</v>
      </c>
      <c r="C240" s="29" t="s">
        <v>20</v>
      </c>
      <c r="D240" s="23" t="s">
        <v>13</v>
      </c>
      <c r="E240" s="23" t="s">
        <v>59</v>
      </c>
      <c r="F240" s="23">
        <v>10</v>
      </c>
      <c r="G240" s="23" t="s">
        <v>19</v>
      </c>
      <c r="H240" s="23" t="s">
        <v>14</v>
      </c>
      <c r="I240" s="23">
        <f>IFERROR(INDEX('التقسيم Layout'!$J$4:$J$9,MATCH(C240,'التقسيم Layout'!$B$4:$B$9,0)),"")</f>
        <v>175</v>
      </c>
    </row>
    <row r="241" spans="1:9" ht="17.25" thickTop="1" thickBot="1" x14ac:dyDescent="0.25">
      <c r="A241" s="23">
        <v>237</v>
      </c>
      <c r="B241" s="26" t="s">
        <v>294</v>
      </c>
      <c r="C241" s="29" t="s">
        <v>20</v>
      </c>
      <c r="D241" s="23" t="s">
        <v>17</v>
      </c>
      <c r="E241" s="23" t="s">
        <v>61</v>
      </c>
      <c r="F241" s="23">
        <v>10</v>
      </c>
      <c r="G241" s="23" t="s">
        <v>19</v>
      </c>
      <c r="H241" s="23" t="s">
        <v>14</v>
      </c>
      <c r="I241" s="23">
        <f>IFERROR(INDEX('التقسيم Layout'!$J$4:$J$9,MATCH(C241,'التقسيم Layout'!$B$4:$B$9,0)),"")</f>
        <v>175</v>
      </c>
    </row>
    <row r="242" spans="1:9" ht="17.25" thickTop="1" thickBot="1" x14ac:dyDescent="0.25">
      <c r="A242" s="23">
        <v>238</v>
      </c>
      <c r="B242" s="26" t="s">
        <v>295</v>
      </c>
      <c r="C242" s="29" t="s">
        <v>20</v>
      </c>
      <c r="D242" s="23" t="s">
        <v>20</v>
      </c>
      <c r="E242" s="23" t="s">
        <v>63</v>
      </c>
      <c r="F242" s="23">
        <v>10</v>
      </c>
      <c r="G242" s="23" t="s">
        <v>19</v>
      </c>
      <c r="H242" s="23" t="s">
        <v>14</v>
      </c>
      <c r="I242" s="23">
        <f>IFERROR(INDEX('التقسيم Layout'!$J$4:$J$9,MATCH(C242,'التقسيم Layout'!$B$4:$B$9,0)),"")</f>
        <v>175</v>
      </c>
    </row>
    <row r="243" spans="1:9" ht="17.25" thickTop="1" thickBot="1" x14ac:dyDescent="0.25">
      <c r="A243" s="23">
        <v>239</v>
      </c>
      <c r="B243" s="26" t="s">
        <v>296</v>
      </c>
      <c r="C243" s="29" t="s">
        <v>20</v>
      </c>
      <c r="D243" s="23" t="s">
        <v>22</v>
      </c>
      <c r="E243" s="23" t="s">
        <v>65</v>
      </c>
      <c r="F243" s="23">
        <v>10</v>
      </c>
      <c r="G243" s="23" t="s">
        <v>19</v>
      </c>
      <c r="H243" s="23" t="s">
        <v>14</v>
      </c>
      <c r="I243" s="23">
        <f>IFERROR(INDEX('التقسيم Layout'!$J$4:$J$9,MATCH(C243,'التقسيم Layout'!$B$4:$B$9,0)),"")</f>
        <v>175</v>
      </c>
    </row>
    <row r="244" spans="1:9" ht="17.25" thickTop="1" thickBot="1" x14ac:dyDescent="0.25">
      <c r="A244" s="23">
        <v>240</v>
      </c>
      <c r="B244" s="26" t="s">
        <v>297</v>
      </c>
      <c r="C244" s="29" t="s">
        <v>20</v>
      </c>
      <c r="D244" s="23" t="s">
        <v>26</v>
      </c>
      <c r="E244" s="23" t="s">
        <v>67</v>
      </c>
      <c r="F244" s="23">
        <v>10</v>
      </c>
      <c r="G244" s="23" t="s">
        <v>19</v>
      </c>
      <c r="H244" s="23" t="s">
        <v>14</v>
      </c>
      <c r="I244" s="23">
        <f>IFERROR(INDEX('التقسيم Layout'!$J$4:$J$9,MATCH(C244,'التقسيم Layout'!$B$4:$B$9,0)),"")</f>
        <v>175</v>
      </c>
    </row>
    <row r="245" spans="1:9" ht="17.25" thickTop="1" thickBot="1" x14ac:dyDescent="0.25">
      <c r="A245" s="23">
        <v>241</v>
      </c>
      <c r="B245" s="26" t="s">
        <v>298</v>
      </c>
      <c r="C245" s="29" t="s">
        <v>20</v>
      </c>
      <c r="D245" s="23" t="s">
        <v>13</v>
      </c>
      <c r="E245" s="23" t="s">
        <v>59</v>
      </c>
      <c r="F245" s="23">
        <v>11</v>
      </c>
      <c r="G245" s="23" t="s">
        <v>19</v>
      </c>
      <c r="H245" s="23" t="s">
        <v>14</v>
      </c>
      <c r="I245" s="23">
        <f>IFERROR(INDEX('التقسيم Layout'!$J$4:$J$9,MATCH(C245,'التقسيم Layout'!$B$4:$B$9,0)),"")</f>
        <v>175</v>
      </c>
    </row>
    <row r="246" spans="1:9" ht="17.25" thickTop="1" thickBot="1" x14ac:dyDescent="0.25">
      <c r="A246" s="23">
        <v>242</v>
      </c>
      <c r="B246" s="26" t="s">
        <v>299</v>
      </c>
      <c r="C246" s="29" t="s">
        <v>20</v>
      </c>
      <c r="D246" s="23" t="s">
        <v>17</v>
      </c>
      <c r="E246" s="23" t="s">
        <v>61</v>
      </c>
      <c r="F246" s="23">
        <v>11</v>
      </c>
      <c r="G246" s="23" t="s">
        <v>19</v>
      </c>
      <c r="H246" s="23" t="s">
        <v>14</v>
      </c>
      <c r="I246" s="23">
        <f>IFERROR(INDEX('التقسيم Layout'!$J$4:$J$9,MATCH(C246,'التقسيم Layout'!$B$4:$B$9,0)),"")</f>
        <v>175</v>
      </c>
    </row>
    <row r="247" spans="1:9" ht="17.25" thickTop="1" thickBot="1" x14ac:dyDescent="0.25">
      <c r="A247" s="23">
        <v>243</v>
      </c>
      <c r="B247" s="26" t="s">
        <v>300</v>
      </c>
      <c r="C247" s="29" t="s">
        <v>20</v>
      </c>
      <c r="D247" s="23" t="s">
        <v>20</v>
      </c>
      <c r="E247" s="23" t="s">
        <v>63</v>
      </c>
      <c r="F247" s="23">
        <v>11</v>
      </c>
      <c r="G247" s="23" t="s">
        <v>19</v>
      </c>
      <c r="H247" s="23" t="s">
        <v>14</v>
      </c>
      <c r="I247" s="23">
        <f>IFERROR(INDEX('التقسيم Layout'!$J$4:$J$9,MATCH(C247,'التقسيم Layout'!$B$4:$B$9,0)),"")</f>
        <v>175</v>
      </c>
    </row>
    <row r="248" spans="1:9" ht="17.25" thickTop="1" thickBot="1" x14ac:dyDescent="0.25">
      <c r="A248" s="23">
        <v>244</v>
      </c>
      <c r="B248" s="26" t="s">
        <v>301</v>
      </c>
      <c r="C248" s="29" t="s">
        <v>20</v>
      </c>
      <c r="D248" s="23" t="s">
        <v>22</v>
      </c>
      <c r="E248" s="23" t="s">
        <v>65</v>
      </c>
      <c r="F248" s="23">
        <v>11</v>
      </c>
      <c r="G248" s="23" t="s">
        <v>19</v>
      </c>
      <c r="H248" s="23" t="s">
        <v>14</v>
      </c>
      <c r="I248" s="23">
        <f>IFERROR(INDEX('التقسيم Layout'!$J$4:$J$9,MATCH(C248,'التقسيم Layout'!$B$4:$B$9,0)),"")</f>
        <v>175</v>
      </c>
    </row>
    <row r="249" spans="1:9" ht="17.25" thickTop="1" thickBot="1" x14ac:dyDescent="0.25">
      <c r="A249" s="23">
        <v>245</v>
      </c>
      <c r="B249" s="26" t="s">
        <v>302</v>
      </c>
      <c r="C249" s="29" t="s">
        <v>20</v>
      </c>
      <c r="D249" s="23" t="s">
        <v>26</v>
      </c>
      <c r="E249" s="23" t="s">
        <v>67</v>
      </c>
      <c r="F249" s="23">
        <v>11</v>
      </c>
      <c r="G249" s="23" t="s">
        <v>19</v>
      </c>
      <c r="H249" s="23" t="s">
        <v>14</v>
      </c>
      <c r="I249" s="23">
        <f>IFERROR(INDEX('التقسيم Layout'!$J$4:$J$9,MATCH(C249,'التقسيم Layout'!$B$4:$B$9,0)),"")</f>
        <v>175</v>
      </c>
    </row>
    <row r="250" spans="1:9" ht="17.25" thickTop="1" thickBot="1" x14ac:dyDescent="0.25">
      <c r="A250" s="23">
        <v>246</v>
      </c>
      <c r="B250" s="26" t="s">
        <v>303</v>
      </c>
      <c r="C250" s="29" t="s">
        <v>20</v>
      </c>
      <c r="D250" s="23" t="s">
        <v>13</v>
      </c>
      <c r="E250" s="23" t="s">
        <v>59</v>
      </c>
      <c r="F250" s="23">
        <v>12</v>
      </c>
      <c r="G250" s="23" t="s">
        <v>19</v>
      </c>
      <c r="H250" s="23" t="s">
        <v>14</v>
      </c>
      <c r="I250" s="23">
        <f>IFERROR(INDEX('التقسيم Layout'!$J$4:$J$9,MATCH(C250,'التقسيم Layout'!$B$4:$B$9,0)),"")</f>
        <v>175</v>
      </c>
    </row>
    <row r="251" spans="1:9" ht="17.25" thickTop="1" thickBot="1" x14ac:dyDescent="0.25">
      <c r="A251" s="23">
        <v>247</v>
      </c>
      <c r="B251" s="26" t="s">
        <v>304</v>
      </c>
      <c r="C251" s="29" t="s">
        <v>20</v>
      </c>
      <c r="D251" s="23" t="s">
        <v>17</v>
      </c>
      <c r="E251" s="23" t="s">
        <v>61</v>
      </c>
      <c r="F251" s="23">
        <v>12</v>
      </c>
      <c r="G251" s="23" t="s">
        <v>19</v>
      </c>
      <c r="H251" s="23" t="s">
        <v>14</v>
      </c>
      <c r="I251" s="23">
        <f>IFERROR(INDEX('التقسيم Layout'!$J$4:$J$9,MATCH(C251,'التقسيم Layout'!$B$4:$B$9,0)),"")</f>
        <v>175</v>
      </c>
    </row>
    <row r="252" spans="1:9" ht="17.25" thickTop="1" thickBot="1" x14ac:dyDescent="0.25">
      <c r="A252" s="23">
        <v>248</v>
      </c>
      <c r="B252" s="26" t="s">
        <v>305</v>
      </c>
      <c r="C252" s="29" t="s">
        <v>20</v>
      </c>
      <c r="D252" s="23" t="s">
        <v>20</v>
      </c>
      <c r="E252" s="23" t="s">
        <v>63</v>
      </c>
      <c r="F252" s="23">
        <v>12</v>
      </c>
      <c r="G252" s="23" t="s">
        <v>19</v>
      </c>
      <c r="H252" s="23" t="s">
        <v>14</v>
      </c>
      <c r="I252" s="23">
        <f>IFERROR(INDEX('التقسيم Layout'!$J$4:$J$9,MATCH(C252,'التقسيم Layout'!$B$4:$B$9,0)),"")</f>
        <v>175</v>
      </c>
    </row>
    <row r="253" spans="1:9" ht="17.25" thickTop="1" thickBot="1" x14ac:dyDescent="0.25">
      <c r="A253" s="23">
        <v>249</v>
      </c>
      <c r="B253" s="26" t="s">
        <v>306</v>
      </c>
      <c r="C253" s="29" t="s">
        <v>20</v>
      </c>
      <c r="D253" s="23" t="s">
        <v>22</v>
      </c>
      <c r="E253" s="23" t="s">
        <v>65</v>
      </c>
      <c r="F253" s="23">
        <v>12</v>
      </c>
      <c r="G253" s="23" t="s">
        <v>19</v>
      </c>
      <c r="H253" s="23" t="s">
        <v>14</v>
      </c>
      <c r="I253" s="23">
        <f>IFERROR(INDEX('التقسيم Layout'!$J$4:$J$9,MATCH(C253,'التقسيم Layout'!$B$4:$B$9,0)),"")</f>
        <v>175</v>
      </c>
    </row>
    <row r="254" spans="1:9" ht="17.25" thickTop="1" thickBot="1" x14ac:dyDescent="0.25">
      <c r="A254" s="23">
        <v>250</v>
      </c>
      <c r="B254" s="26" t="s">
        <v>307</v>
      </c>
      <c r="C254" s="29" t="s">
        <v>20</v>
      </c>
      <c r="D254" s="23" t="s">
        <v>26</v>
      </c>
      <c r="E254" s="23" t="s">
        <v>67</v>
      </c>
      <c r="F254" s="23">
        <v>12</v>
      </c>
      <c r="G254" s="23" t="s">
        <v>19</v>
      </c>
      <c r="H254" s="23" t="s">
        <v>14</v>
      </c>
      <c r="I254" s="23">
        <f>IFERROR(INDEX('التقسيم Layout'!$J$4:$J$9,MATCH(C254,'التقسيم Layout'!$B$4:$B$9,0)),"")</f>
        <v>175</v>
      </c>
    </row>
    <row r="255" spans="1:9" ht="17.25" thickTop="1" thickBot="1" x14ac:dyDescent="0.25">
      <c r="A255" s="23">
        <v>251</v>
      </c>
      <c r="B255" s="26" t="s">
        <v>308</v>
      </c>
      <c r="C255" s="29" t="s">
        <v>20</v>
      </c>
      <c r="D255" s="23" t="s">
        <v>13</v>
      </c>
      <c r="E255" s="23" t="s">
        <v>59</v>
      </c>
      <c r="F255" s="23">
        <v>13</v>
      </c>
      <c r="G255" s="23" t="s">
        <v>19</v>
      </c>
      <c r="H255" s="23" t="s">
        <v>14</v>
      </c>
      <c r="I255" s="23">
        <f>IFERROR(INDEX('التقسيم Layout'!$J$4:$J$9,MATCH(C255,'التقسيم Layout'!$B$4:$B$9,0)),"")</f>
        <v>175</v>
      </c>
    </row>
    <row r="256" spans="1:9" ht="17.25" thickTop="1" thickBot="1" x14ac:dyDescent="0.25">
      <c r="A256" s="23">
        <v>252</v>
      </c>
      <c r="B256" s="26" t="s">
        <v>309</v>
      </c>
      <c r="C256" s="29" t="s">
        <v>20</v>
      </c>
      <c r="D256" s="23" t="s">
        <v>17</v>
      </c>
      <c r="E256" s="23" t="s">
        <v>61</v>
      </c>
      <c r="F256" s="23">
        <v>13</v>
      </c>
      <c r="G256" s="23" t="s">
        <v>19</v>
      </c>
      <c r="H256" s="23" t="s">
        <v>14</v>
      </c>
      <c r="I256" s="23">
        <f>IFERROR(INDEX('التقسيم Layout'!$J$4:$J$9,MATCH(C256,'التقسيم Layout'!$B$4:$B$9,0)),"")</f>
        <v>175</v>
      </c>
    </row>
    <row r="257" spans="1:9" ht="17.25" thickTop="1" thickBot="1" x14ac:dyDescent="0.25">
      <c r="A257" s="23">
        <v>253</v>
      </c>
      <c r="B257" s="26" t="s">
        <v>310</v>
      </c>
      <c r="C257" s="29" t="s">
        <v>20</v>
      </c>
      <c r="D257" s="23" t="s">
        <v>20</v>
      </c>
      <c r="E257" s="23" t="s">
        <v>63</v>
      </c>
      <c r="F257" s="23">
        <v>13</v>
      </c>
      <c r="G257" s="23" t="s">
        <v>19</v>
      </c>
      <c r="H257" s="23" t="s">
        <v>14</v>
      </c>
      <c r="I257" s="23">
        <f>IFERROR(INDEX('التقسيم Layout'!$J$4:$J$9,MATCH(C257,'التقسيم Layout'!$B$4:$B$9,0)),"")</f>
        <v>175</v>
      </c>
    </row>
    <row r="258" spans="1:9" ht="17.25" thickTop="1" thickBot="1" x14ac:dyDescent="0.25">
      <c r="A258" s="23">
        <v>254</v>
      </c>
      <c r="B258" s="26" t="s">
        <v>311</v>
      </c>
      <c r="C258" s="29" t="s">
        <v>20</v>
      </c>
      <c r="D258" s="23" t="s">
        <v>22</v>
      </c>
      <c r="E258" s="23" t="s">
        <v>65</v>
      </c>
      <c r="F258" s="23">
        <v>13</v>
      </c>
      <c r="G258" s="23" t="s">
        <v>19</v>
      </c>
      <c r="H258" s="23" t="s">
        <v>14</v>
      </c>
      <c r="I258" s="23">
        <f>IFERROR(INDEX('التقسيم Layout'!$J$4:$J$9,MATCH(C258,'التقسيم Layout'!$B$4:$B$9,0)),"")</f>
        <v>175</v>
      </c>
    </row>
    <row r="259" spans="1:9" ht="17.25" thickTop="1" thickBot="1" x14ac:dyDescent="0.25">
      <c r="A259" s="23">
        <v>255</v>
      </c>
      <c r="B259" s="26" t="s">
        <v>312</v>
      </c>
      <c r="C259" s="29" t="s">
        <v>20</v>
      </c>
      <c r="D259" s="23" t="s">
        <v>26</v>
      </c>
      <c r="E259" s="23" t="s">
        <v>67</v>
      </c>
      <c r="F259" s="23">
        <v>13</v>
      </c>
      <c r="G259" s="23" t="s">
        <v>19</v>
      </c>
      <c r="H259" s="23" t="s">
        <v>14</v>
      </c>
      <c r="I259" s="23">
        <f>IFERROR(INDEX('التقسيم Layout'!$J$4:$J$9,MATCH(C259,'التقسيم Layout'!$B$4:$B$9,0)),"")</f>
        <v>175</v>
      </c>
    </row>
    <row r="260" spans="1:9" ht="17.25" thickTop="1" thickBot="1" x14ac:dyDescent="0.25">
      <c r="A260" s="23">
        <v>256</v>
      </c>
      <c r="B260" s="26" t="s">
        <v>313</v>
      </c>
      <c r="C260" s="29" t="s">
        <v>20</v>
      </c>
      <c r="D260" s="23" t="s">
        <v>13</v>
      </c>
      <c r="E260" s="23" t="s">
        <v>59</v>
      </c>
      <c r="F260" s="23">
        <v>14</v>
      </c>
      <c r="G260" s="23" t="s">
        <v>19</v>
      </c>
      <c r="H260" s="23" t="s">
        <v>14</v>
      </c>
      <c r="I260" s="23">
        <f>IFERROR(INDEX('التقسيم Layout'!$J$4:$J$9,MATCH(C260,'التقسيم Layout'!$B$4:$B$9,0)),"")</f>
        <v>175</v>
      </c>
    </row>
    <row r="261" spans="1:9" ht="17.25" thickTop="1" thickBot="1" x14ac:dyDescent="0.25">
      <c r="A261" s="23">
        <v>257</v>
      </c>
      <c r="B261" s="26" t="s">
        <v>314</v>
      </c>
      <c r="C261" s="29" t="s">
        <v>20</v>
      </c>
      <c r="D261" s="23" t="s">
        <v>17</v>
      </c>
      <c r="E261" s="23" t="s">
        <v>61</v>
      </c>
      <c r="F261" s="23">
        <v>14</v>
      </c>
      <c r="G261" s="23" t="s">
        <v>19</v>
      </c>
      <c r="H261" s="23" t="s">
        <v>14</v>
      </c>
      <c r="I261" s="23">
        <f>IFERROR(INDEX('التقسيم Layout'!$J$4:$J$9,MATCH(C261,'التقسيم Layout'!$B$4:$B$9,0)),"")</f>
        <v>175</v>
      </c>
    </row>
    <row r="262" spans="1:9" ht="17.25" thickTop="1" thickBot="1" x14ac:dyDescent="0.25">
      <c r="A262" s="23">
        <v>258</v>
      </c>
      <c r="B262" s="26" t="s">
        <v>315</v>
      </c>
      <c r="C262" s="29" t="s">
        <v>20</v>
      </c>
      <c r="D262" s="23" t="s">
        <v>20</v>
      </c>
      <c r="E262" s="23" t="s">
        <v>63</v>
      </c>
      <c r="F262" s="23">
        <v>14</v>
      </c>
      <c r="G262" s="23" t="s">
        <v>19</v>
      </c>
      <c r="H262" s="23" t="s">
        <v>14</v>
      </c>
      <c r="I262" s="23">
        <f>IFERROR(INDEX('التقسيم Layout'!$J$4:$J$9,MATCH(C262,'التقسيم Layout'!$B$4:$B$9,0)),"")</f>
        <v>175</v>
      </c>
    </row>
    <row r="263" spans="1:9" ht="17.25" thickTop="1" thickBot="1" x14ac:dyDescent="0.25">
      <c r="A263" s="23">
        <v>259</v>
      </c>
      <c r="B263" s="26" t="s">
        <v>316</v>
      </c>
      <c r="C263" s="29" t="s">
        <v>20</v>
      </c>
      <c r="D263" s="23" t="s">
        <v>22</v>
      </c>
      <c r="E263" s="23" t="s">
        <v>65</v>
      </c>
      <c r="F263" s="23">
        <v>14</v>
      </c>
      <c r="G263" s="23" t="s">
        <v>19</v>
      </c>
      <c r="H263" s="23" t="s">
        <v>14</v>
      </c>
      <c r="I263" s="23">
        <f>IFERROR(INDEX('التقسيم Layout'!$J$4:$J$9,MATCH(C263,'التقسيم Layout'!$B$4:$B$9,0)),"")</f>
        <v>175</v>
      </c>
    </row>
    <row r="264" spans="1:9" ht="17.25" thickTop="1" thickBot="1" x14ac:dyDescent="0.25">
      <c r="A264" s="23">
        <v>260</v>
      </c>
      <c r="B264" s="26" t="s">
        <v>317</v>
      </c>
      <c r="C264" s="29" t="s">
        <v>20</v>
      </c>
      <c r="D264" s="23" t="s">
        <v>26</v>
      </c>
      <c r="E264" s="23" t="s">
        <v>67</v>
      </c>
      <c r="F264" s="23">
        <v>14</v>
      </c>
      <c r="G264" s="23" t="s">
        <v>19</v>
      </c>
      <c r="H264" s="23" t="s">
        <v>14</v>
      </c>
      <c r="I264" s="23">
        <f>IFERROR(INDEX('التقسيم Layout'!$J$4:$J$9,MATCH(C264,'التقسيم Layout'!$B$4:$B$9,0)),"")</f>
        <v>175</v>
      </c>
    </row>
    <row r="265" spans="1:9" ht="17.25" thickTop="1" thickBot="1" x14ac:dyDescent="0.25">
      <c r="A265" s="23">
        <v>261</v>
      </c>
      <c r="B265" s="26" t="s">
        <v>622</v>
      </c>
      <c r="C265" s="29" t="s">
        <v>20</v>
      </c>
      <c r="D265" s="23" t="s">
        <v>13</v>
      </c>
      <c r="E265" s="23" t="s">
        <v>59</v>
      </c>
      <c r="F265" s="23">
        <v>15</v>
      </c>
      <c r="G265" s="23" t="s">
        <v>19</v>
      </c>
      <c r="H265" s="23" t="s">
        <v>14</v>
      </c>
      <c r="I265" s="23">
        <f>IFERROR(INDEX('التقسيم Layout'!$J$4:$J$9,MATCH(C265,'التقسيم Layout'!$B$4:$B$9,0)),"")</f>
        <v>175</v>
      </c>
    </row>
    <row r="266" spans="1:9" ht="17.25" thickTop="1" thickBot="1" x14ac:dyDescent="0.25">
      <c r="A266" s="23">
        <v>262</v>
      </c>
      <c r="B266" s="26" t="s">
        <v>623</v>
      </c>
      <c r="C266" s="29" t="s">
        <v>20</v>
      </c>
      <c r="D266" s="23" t="s">
        <v>17</v>
      </c>
      <c r="E266" s="23" t="s">
        <v>61</v>
      </c>
      <c r="F266" s="23">
        <v>15</v>
      </c>
      <c r="G266" s="23" t="s">
        <v>19</v>
      </c>
      <c r="H266" s="23" t="s">
        <v>14</v>
      </c>
      <c r="I266" s="23">
        <f>IFERROR(INDEX('التقسيم Layout'!$J$4:$J$9,MATCH(C266,'التقسيم Layout'!$B$4:$B$9,0)),"")</f>
        <v>175</v>
      </c>
    </row>
    <row r="267" spans="1:9" ht="17.25" thickTop="1" thickBot="1" x14ac:dyDescent="0.25">
      <c r="A267" s="23">
        <v>263</v>
      </c>
      <c r="B267" s="26" t="s">
        <v>624</v>
      </c>
      <c r="C267" s="29" t="s">
        <v>20</v>
      </c>
      <c r="D267" s="23" t="s">
        <v>20</v>
      </c>
      <c r="E267" s="23" t="s">
        <v>63</v>
      </c>
      <c r="F267" s="23">
        <v>15</v>
      </c>
      <c r="G267" s="23" t="s">
        <v>19</v>
      </c>
      <c r="H267" s="23" t="s">
        <v>14</v>
      </c>
      <c r="I267" s="23">
        <f>IFERROR(INDEX('التقسيم Layout'!$J$4:$J$9,MATCH(C267,'التقسيم Layout'!$B$4:$B$9,0)),"")</f>
        <v>175</v>
      </c>
    </row>
    <row r="268" spans="1:9" ht="17.25" thickTop="1" thickBot="1" x14ac:dyDescent="0.25">
      <c r="A268" s="23">
        <v>264</v>
      </c>
      <c r="B268" s="26" t="s">
        <v>625</v>
      </c>
      <c r="C268" s="29" t="s">
        <v>20</v>
      </c>
      <c r="D268" s="23" t="s">
        <v>22</v>
      </c>
      <c r="E268" s="23" t="s">
        <v>65</v>
      </c>
      <c r="F268" s="23">
        <v>15</v>
      </c>
      <c r="G268" s="23" t="s">
        <v>19</v>
      </c>
      <c r="H268" s="23" t="s">
        <v>14</v>
      </c>
      <c r="I268" s="23">
        <f>IFERROR(INDEX('التقسيم Layout'!$J$4:$J$9,MATCH(C268,'التقسيم Layout'!$B$4:$B$9,0)),"")</f>
        <v>175</v>
      </c>
    </row>
    <row r="269" spans="1:9" ht="17.25" thickTop="1" thickBot="1" x14ac:dyDescent="0.25">
      <c r="A269" s="23">
        <v>265</v>
      </c>
      <c r="B269" s="26" t="s">
        <v>626</v>
      </c>
      <c r="C269" s="29" t="s">
        <v>20</v>
      </c>
      <c r="D269" s="23" t="s">
        <v>26</v>
      </c>
      <c r="E269" s="23" t="s">
        <v>67</v>
      </c>
      <c r="F269" s="23">
        <v>15</v>
      </c>
      <c r="G269" s="23" t="s">
        <v>19</v>
      </c>
      <c r="H269" s="23" t="s">
        <v>14</v>
      </c>
      <c r="I269" s="23">
        <f>IFERROR(INDEX('التقسيم Layout'!$J$4:$J$9,MATCH(C269,'التقسيم Layout'!$B$4:$B$9,0)),"")</f>
        <v>175</v>
      </c>
    </row>
    <row r="270" spans="1:9" ht="17.25" thickTop="1" thickBot="1" x14ac:dyDescent="0.25">
      <c r="A270" s="23">
        <v>266</v>
      </c>
      <c r="B270" s="26" t="s">
        <v>318</v>
      </c>
      <c r="C270" s="30" t="s">
        <v>22</v>
      </c>
      <c r="D270" s="23" t="s">
        <v>13</v>
      </c>
      <c r="E270" s="23" t="s">
        <v>59</v>
      </c>
      <c r="F270" s="23">
        <v>1</v>
      </c>
      <c r="G270" s="23" t="s">
        <v>19</v>
      </c>
      <c r="H270" s="23" t="s">
        <v>23</v>
      </c>
      <c r="I270" s="23">
        <f>IFERROR(INDEX('التقسيم Layout'!$J$4:$J$9,MATCH(C270,'التقسيم Layout'!$B$4:$B$9,0)),"")</f>
        <v>246</v>
      </c>
    </row>
    <row r="271" spans="1:9" ht="17.25" thickTop="1" thickBot="1" x14ac:dyDescent="0.25">
      <c r="A271" s="23">
        <v>267</v>
      </c>
      <c r="B271" s="26" t="s">
        <v>319</v>
      </c>
      <c r="C271" s="30" t="s">
        <v>22</v>
      </c>
      <c r="D271" s="23" t="s">
        <v>17</v>
      </c>
      <c r="E271" s="23" t="s">
        <v>61</v>
      </c>
      <c r="F271" s="23">
        <v>1</v>
      </c>
      <c r="G271" s="23" t="s">
        <v>19</v>
      </c>
      <c r="H271" s="23" t="s">
        <v>23</v>
      </c>
      <c r="I271" s="23">
        <f>IFERROR(INDEX('التقسيم Layout'!$J$4:$J$9,MATCH(C271,'التقسيم Layout'!$B$4:$B$9,0)),"")</f>
        <v>246</v>
      </c>
    </row>
    <row r="272" spans="1:9" ht="17.25" thickTop="1" thickBot="1" x14ac:dyDescent="0.25">
      <c r="A272" s="23">
        <v>268</v>
      </c>
      <c r="B272" s="26" t="s">
        <v>320</v>
      </c>
      <c r="C272" s="30" t="s">
        <v>22</v>
      </c>
      <c r="D272" s="23" t="s">
        <v>20</v>
      </c>
      <c r="E272" s="23" t="s">
        <v>63</v>
      </c>
      <c r="F272" s="23">
        <v>1</v>
      </c>
      <c r="G272" s="23" t="s">
        <v>19</v>
      </c>
      <c r="H272" s="23" t="s">
        <v>23</v>
      </c>
      <c r="I272" s="23">
        <f>IFERROR(INDEX('التقسيم Layout'!$J$4:$J$9,MATCH(C272,'التقسيم Layout'!$B$4:$B$9,0)),"")</f>
        <v>246</v>
      </c>
    </row>
    <row r="273" spans="1:9" ht="17.25" thickTop="1" thickBot="1" x14ac:dyDescent="0.25">
      <c r="A273" s="23">
        <v>269</v>
      </c>
      <c r="B273" s="26" t="s">
        <v>321</v>
      </c>
      <c r="C273" s="30" t="s">
        <v>22</v>
      </c>
      <c r="D273" s="23" t="s">
        <v>22</v>
      </c>
      <c r="E273" s="23" t="s">
        <v>67</v>
      </c>
      <c r="F273" s="23">
        <v>1</v>
      </c>
      <c r="G273" s="23" t="s">
        <v>19</v>
      </c>
      <c r="H273" s="23" t="s">
        <v>23</v>
      </c>
      <c r="I273" s="23">
        <f>IFERROR(INDEX('التقسيم Layout'!$J$4:$J$9,MATCH(C273,'التقسيم Layout'!$B$4:$B$9,0)),"")</f>
        <v>246</v>
      </c>
    </row>
    <row r="274" spans="1:9" ht="17.25" thickTop="1" thickBot="1" x14ac:dyDescent="0.25">
      <c r="A274" s="23">
        <v>270</v>
      </c>
      <c r="B274" s="26" t="s">
        <v>322</v>
      </c>
      <c r="C274" s="30" t="s">
        <v>22</v>
      </c>
      <c r="D274" s="23" t="s">
        <v>13</v>
      </c>
      <c r="E274" s="23" t="s">
        <v>59</v>
      </c>
      <c r="F274" s="23">
        <v>2</v>
      </c>
      <c r="G274" s="23" t="s">
        <v>19</v>
      </c>
      <c r="H274" s="23" t="s">
        <v>23</v>
      </c>
      <c r="I274" s="23">
        <f>IFERROR(INDEX('التقسيم Layout'!$J$4:$J$9,MATCH(C274,'التقسيم Layout'!$B$4:$B$9,0)),"")</f>
        <v>246</v>
      </c>
    </row>
    <row r="275" spans="1:9" ht="17.25" thickTop="1" thickBot="1" x14ac:dyDescent="0.25">
      <c r="A275" s="23">
        <v>271</v>
      </c>
      <c r="B275" s="26" t="s">
        <v>323</v>
      </c>
      <c r="C275" s="30" t="s">
        <v>22</v>
      </c>
      <c r="D275" s="23" t="s">
        <v>17</v>
      </c>
      <c r="E275" s="23" t="s">
        <v>61</v>
      </c>
      <c r="F275" s="23">
        <v>2</v>
      </c>
      <c r="G275" s="23" t="s">
        <v>19</v>
      </c>
      <c r="H275" s="23" t="s">
        <v>23</v>
      </c>
      <c r="I275" s="23">
        <f>IFERROR(INDEX('التقسيم Layout'!$J$4:$J$9,MATCH(C275,'التقسيم Layout'!$B$4:$B$9,0)),"")</f>
        <v>246</v>
      </c>
    </row>
    <row r="276" spans="1:9" ht="17.25" thickTop="1" thickBot="1" x14ac:dyDescent="0.25">
      <c r="A276" s="23">
        <v>272</v>
      </c>
      <c r="B276" s="26" t="s">
        <v>324</v>
      </c>
      <c r="C276" s="30" t="s">
        <v>22</v>
      </c>
      <c r="D276" s="23" t="s">
        <v>20</v>
      </c>
      <c r="E276" s="23" t="s">
        <v>63</v>
      </c>
      <c r="F276" s="23">
        <v>2</v>
      </c>
      <c r="G276" s="23" t="s">
        <v>19</v>
      </c>
      <c r="H276" s="23" t="s">
        <v>23</v>
      </c>
      <c r="I276" s="23">
        <f>IFERROR(INDEX('التقسيم Layout'!$J$4:$J$9,MATCH(C276,'التقسيم Layout'!$B$4:$B$9,0)),"")</f>
        <v>246</v>
      </c>
    </row>
    <row r="277" spans="1:9" ht="17.25" thickTop="1" thickBot="1" x14ac:dyDescent="0.25">
      <c r="A277" s="23">
        <v>273</v>
      </c>
      <c r="B277" s="26" t="s">
        <v>325</v>
      </c>
      <c r="C277" s="30" t="s">
        <v>22</v>
      </c>
      <c r="D277" s="23" t="s">
        <v>22</v>
      </c>
      <c r="E277" s="23" t="s">
        <v>67</v>
      </c>
      <c r="F277" s="23">
        <v>2</v>
      </c>
      <c r="G277" s="23" t="s">
        <v>19</v>
      </c>
      <c r="H277" s="23" t="s">
        <v>23</v>
      </c>
      <c r="I277" s="23">
        <f>IFERROR(INDEX('التقسيم Layout'!$J$4:$J$9,MATCH(C277,'التقسيم Layout'!$B$4:$B$9,0)),"")</f>
        <v>246</v>
      </c>
    </row>
    <row r="278" spans="1:9" ht="17.25" thickTop="1" thickBot="1" x14ac:dyDescent="0.25">
      <c r="A278" s="23">
        <v>274</v>
      </c>
      <c r="B278" s="26" t="s">
        <v>326</v>
      </c>
      <c r="C278" s="30" t="s">
        <v>22</v>
      </c>
      <c r="D278" s="23" t="s">
        <v>13</v>
      </c>
      <c r="E278" s="23" t="s">
        <v>59</v>
      </c>
      <c r="F278" s="23">
        <v>3</v>
      </c>
      <c r="G278" s="23" t="s">
        <v>19</v>
      </c>
      <c r="H278" s="23" t="s">
        <v>23</v>
      </c>
      <c r="I278" s="23">
        <f>IFERROR(INDEX('التقسيم Layout'!$J$4:$J$9,MATCH(C278,'التقسيم Layout'!$B$4:$B$9,0)),"")</f>
        <v>246</v>
      </c>
    </row>
    <row r="279" spans="1:9" ht="17.25" thickTop="1" thickBot="1" x14ac:dyDescent="0.25">
      <c r="A279" s="23">
        <v>275</v>
      </c>
      <c r="B279" s="26" t="s">
        <v>327</v>
      </c>
      <c r="C279" s="30" t="s">
        <v>22</v>
      </c>
      <c r="D279" s="23" t="s">
        <v>17</v>
      </c>
      <c r="E279" s="23" t="s">
        <v>61</v>
      </c>
      <c r="F279" s="23">
        <v>3</v>
      </c>
      <c r="G279" s="23" t="s">
        <v>19</v>
      </c>
      <c r="H279" s="23" t="s">
        <v>23</v>
      </c>
      <c r="I279" s="23">
        <f>IFERROR(INDEX('التقسيم Layout'!$J$4:$J$9,MATCH(C279,'التقسيم Layout'!$B$4:$B$9,0)),"")</f>
        <v>246</v>
      </c>
    </row>
    <row r="280" spans="1:9" ht="17.25" thickTop="1" thickBot="1" x14ac:dyDescent="0.25">
      <c r="A280" s="23">
        <v>276</v>
      </c>
      <c r="B280" s="26" t="s">
        <v>328</v>
      </c>
      <c r="C280" s="30" t="s">
        <v>22</v>
      </c>
      <c r="D280" s="23" t="s">
        <v>20</v>
      </c>
      <c r="E280" s="23" t="s">
        <v>63</v>
      </c>
      <c r="F280" s="23">
        <v>3</v>
      </c>
      <c r="G280" s="23" t="s">
        <v>19</v>
      </c>
      <c r="H280" s="23" t="s">
        <v>23</v>
      </c>
      <c r="I280" s="23">
        <f>IFERROR(INDEX('التقسيم Layout'!$J$4:$J$9,MATCH(C280,'التقسيم Layout'!$B$4:$B$9,0)),"")</f>
        <v>246</v>
      </c>
    </row>
    <row r="281" spans="1:9" ht="17.25" thickTop="1" thickBot="1" x14ac:dyDescent="0.25">
      <c r="A281" s="23">
        <v>277</v>
      </c>
      <c r="B281" s="26" t="s">
        <v>329</v>
      </c>
      <c r="C281" s="30" t="s">
        <v>22</v>
      </c>
      <c r="D281" s="23" t="s">
        <v>22</v>
      </c>
      <c r="E281" s="23" t="s">
        <v>67</v>
      </c>
      <c r="F281" s="23">
        <v>3</v>
      </c>
      <c r="G281" s="23" t="s">
        <v>19</v>
      </c>
      <c r="H281" s="23" t="s">
        <v>23</v>
      </c>
      <c r="I281" s="23">
        <f>IFERROR(INDEX('التقسيم Layout'!$J$4:$J$9,MATCH(C281,'التقسيم Layout'!$B$4:$B$9,0)),"")</f>
        <v>246</v>
      </c>
    </row>
    <row r="282" spans="1:9" ht="17.25" thickTop="1" thickBot="1" x14ac:dyDescent="0.25">
      <c r="A282" s="23">
        <v>278</v>
      </c>
      <c r="B282" s="26" t="s">
        <v>330</v>
      </c>
      <c r="C282" s="30" t="s">
        <v>22</v>
      </c>
      <c r="D282" s="23" t="s">
        <v>13</v>
      </c>
      <c r="E282" s="23" t="s">
        <v>59</v>
      </c>
      <c r="F282" s="23">
        <v>4</v>
      </c>
      <c r="G282" s="23" t="s">
        <v>19</v>
      </c>
      <c r="H282" s="23" t="s">
        <v>23</v>
      </c>
      <c r="I282" s="23">
        <f>IFERROR(INDEX('التقسيم Layout'!$J$4:$J$9,MATCH(C282,'التقسيم Layout'!$B$4:$B$9,0)),"")</f>
        <v>246</v>
      </c>
    </row>
    <row r="283" spans="1:9" ht="17.25" thickTop="1" thickBot="1" x14ac:dyDescent="0.25">
      <c r="A283" s="23">
        <v>279</v>
      </c>
      <c r="B283" s="26" t="s">
        <v>331</v>
      </c>
      <c r="C283" s="30" t="s">
        <v>22</v>
      </c>
      <c r="D283" s="23" t="s">
        <v>17</v>
      </c>
      <c r="E283" s="23" t="s">
        <v>61</v>
      </c>
      <c r="F283" s="23">
        <v>4</v>
      </c>
      <c r="G283" s="23" t="s">
        <v>19</v>
      </c>
      <c r="H283" s="23" t="s">
        <v>23</v>
      </c>
      <c r="I283" s="23">
        <f>IFERROR(INDEX('التقسيم Layout'!$J$4:$J$9,MATCH(C283,'التقسيم Layout'!$B$4:$B$9,0)),"")</f>
        <v>246</v>
      </c>
    </row>
    <row r="284" spans="1:9" ht="17.25" thickTop="1" thickBot="1" x14ac:dyDescent="0.25">
      <c r="A284" s="23">
        <v>280</v>
      </c>
      <c r="B284" s="26" t="s">
        <v>332</v>
      </c>
      <c r="C284" s="30" t="s">
        <v>22</v>
      </c>
      <c r="D284" s="23" t="s">
        <v>20</v>
      </c>
      <c r="E284" s="23" t="s">
        <v>63</v>
      </c>
      <c r="F284" s="23">
        <v>4</v>
      </c>
      <c r="G284" s="23" t="s">
        <v>19</v>
      </c>
      <c r="H284" s="23" t="s">
        <v>23</v>
      </c>
      <c r="I284" s="23">
        <f>IFERROR(INDEX('التقسيم Layout'!$J$4:$J$9,MATCH(C284,'التقسيم Layout'!$B$4:$B$9,0)),"")</f>
        <v>246</v>
      </c>
    </row>
    <row r="285" spans="1:9" ht="17.25" thickTop="1" thickBot="1" x14ac:dyDescent="0.25">
      <c r="A285" s="23">
        <v>281</v>
      </c>
      <c r="B285" s="26" t="s">
        <v>333</v>
      </c>
      <c r="C285" s="30" t="s">
        <v>22</v>
      </c>
      <c r="D285" s="23" t="s">
        <v>22</v>
      </c>
      <c r="E285" s="23" t="s">
        <v>67</v>
      </c>
      <c r="F285" s="23">
        <v>4</v>
      </c>
      <c r="G285" s="23" t="s">
        <v>19</v>
      </c>
      <c r="H285" s="23" t="s">
        <v>23</v>
      </c>
      <c r="I285" s="23">
        <f>IFERROR(INDEX('التقسيم Layout'!$J$4:$J$9,MATCH(C285,'التقسيم Layout'!$B$4:$B$9,0)),"")</f>
        <v>246</v>
      </c>
    </row>
    <row r="286" spans="1:9" ht="17.25" thickTop="1" thickBot="1" x14ac:dyDescent="0.25">
      <c r="A286" s="23">
        <v>282</v>
      </c>
      <c r="B286" s="26" t="s">
        <v>334</v>
      </c>
      <c r="C286" s="30" t="s">
        <v>22</v>
      </c>
      <c r="D286" s="23" t="s">
        <v>13</v>
      </c>
      <c r="E286" s="23" t="s">
        <v>59</v>
      </c>
      <c r="F286" s="23">
        <v>5</v>
      </c>
      <c r="G286" s="23" t="s">
        <v>19</v>
      </c>
      <c r="H286" s="23" t="s">
        <v>23</v>
      </c>
      <c r="I286" s="23">
        <f>IFERROR(INDEX('التقسيم Layout'!$J$4:$J$9,MATCH(C286,'التقسيم Layout'!$B$4:$B$9,0)),"")</f>
        <v>246</v>
      </c>
    </row>
    <row r="287" spans="1:9" ht="17.25" thickTop="1" thickBot="1" x14ac:dyDescent="0.25">
      <c r="A287" s="23">
        <v>283</v>
      </c>
      <c r="B287" s="26" t="s">
        <v>335</v>
      </c>
      <c r="C287" s="30" t="s">
        <v>22</v>
      </c>
      <c r="D287" s="23" t="s">
        <v>17</v>
      </c>
      <c r="E287" s="23" t="s">
        <v>61</v>
      </c>
      <c r="F287" s="23">
        <v>5</v>
      </c>
      <c r="G287" s="23" t="s">
        <v>19</v>
      </c>
      <c r="H287" s="23" t="s">
        <v>23</v>
      </c>
      <c r="I287" s="23">
        <f>IFERROR(INDEX('التقسيم Layout'!$J$4:$J$9,MATCH(C287,'التقسيم Layout'!$B$4:$B$9,0)),"")</f>
        <v>246</v>
      </c>
    </row>
    <row r="288" spans="1:9" ht="17.25" thickTop="1" thickBot="1" x14ac:dyDescent="0.25">
      <c r="A288" s="23">
        <v>284</v>
      </c>
      <c r="B288" s="26" t="s">
        <v>336</v>
      </c>
      <c r="C288" s="30" t="s">
        <v>22</v>
      </c>
      <c r="D288" s="23" t="s">
        <v>20</v>
      </c>
      <c r="E288" s="23" t="s">
        <v>63</v>
      </c>
      <c r="F288" s="23">
        <v>5</v>
      </c>
      <c r="G288" s="23" t="s">
        <v>19</v>
      </c>
      <c r="H288" s="23" t="s">
        <v>23</v>
      </c>
      <c r="I288" s="23">
        <f>IFERROR(INDEX('التقسيم Layout'!$J$4:$J$9,MATCH(C288,'التقسيم Layout'!$B$4:$B$9,0)),"")</f>
        <v>246</v>
      </c>
    </row>
    <row r="289" spans="1:9" ht="17.25" thickTop="1" thickBot="1" x14ac:dyDescent="0.25">
      <c r="A289" s="23">
        <v>285</v>
      </c>
      <c r="B289" s="26" t="s">
        <v>337</v>
      </c>
      <c r="C289" s="30" t="s">
        <v>22</v>
      </c>
      <c r="D289" s="23" t="s">
        <v>22</v>
      </c>
      <c r="E289" s="23" t="s">
        <v>67</v>
      </c>
      <c r="F289" s="23">
        <v>5</v>
      </c>
      <c r="G289" s="23" t="s">
        <v>19</v>
      </c>
      <c r="H289" s="23" t="s">
        <v>23</v>
      </c>
      <c r="I289" s="23">
        <f>IFERROR(INDEX('التقسيم Layout'!$J$4:$J$9,MATCH(C289,'التقسيم Layout'!$B$4:$B$9,0)),"")</f>
        <v>246</v>
      </c>
    </row>
    <row r="290" spans="1:9" ht="17.25" thickTop="1" thickBot="1" x14ac:dyDescent="0.25">
      <c r="A290" s="23">
        <v>286</v>
      </c>
      <c r="B290" s="26" t="s">
        <v>338</v>
      </c>
      <c r="C290" s="30" t="s">
        <v>22</v>
      </c>
      <c r="D290" s="23" t="s">
        <v>13</v>
      </c>
      <c r="E290" s="23" t="s">
        <v>59</v>
      </c>
      <c r="F290" s="23">
        <v>6</v>
      </c>
      <c r="G290" s="23" t="s">
        <v>19</v>
      </c>
      <c r="H290" s="23" t="s">
        <v>23</v>
      </c>
      <c r="I290" s="23">
        <f>IFERROR(INDEX('التقسيم Layout'!$J$4:$J$9,MATCH(C290,'التقسيم Layout'!$B$4:$B$9,0)),"")</f>
        <v>246</v>
      </c>
    </row>
    <row r="291" spans="1:9" ht="17.25" thickTop="1" thickBot="1" x14ac:dyDescent="0.25">
      <c r="A291" s="23">
        <v>287</v>
      </c>
      <c r="B291" s="26" t="s">
        <v>339</v>
      </c>
      <c r="C291" s="30" t="s">
        <v>22</v>
      </c>
      <c r="D291" s="23" t="s">
        <v>17</v>
      </c>
      <c r="E291" s="23" t="s">
        <v>61</v>
      </c>
      <c r="F291" s="23">
        <v>6</v>
      </c>
      <c r="G291" s="23" t="s">
        <v>19</v>
      </c>
      <c r="H291" s="23" t="s">
        <v>23</v>
      </c>
      <c r="I291" s="23">
        <f>IFERROR(INDEX('التقسيم Layout'!$J$4:$J$9,MATCH(C291,'التقسيم Layout'!$B$4:$B$9,0)),"")</f>
        <v>246</v>
      </c>
    </row>
    <row r="292" spans="1:9" ht="17.25" thickTop="1" thickBot="1" x14ac:dyDescent="0.25">
      <c r="A292" s="23">
        <v>288</v>
      </c>
      <c r="B292" s="26" t="s">
        <v>340</v>
      </c>
      <c r="C292" s="30" t="s">
        <v>22</v>
      </c>
      <c r="D292" s="23" t="s">
        <v>20</v>
      </c>
      <c r="E292" s="23" t="s">
        <v>63</v>
      </c>
      <c r="F292" s="23">
        <v>6</v>
      </c>
      <c r="G292" s="23" t="s">
        <v>19</v>
      </c>
      <c r="H292" s="23" t="s">
        <v>23</v>
      </c>
      <c r="I292" s="23">
        <f>IFERROR(INDEX('التقسيم Layout'!$J$4:$J$9,MATCH(C292,'التقسيم Layout'!$B$4:$B$9,0)),"")</f>
        <v>246</v>
      </c>
    </row>
    <row r="293" spans="1:9" ht="17.25" thickTop="1" thickBot="1" x14ac:dyDescent="0.25">
      <c r="A293" s="23">
        <v>289</v>
      </c>
      <c r="B293" s="26" t="s">
        <v>341</v>
      </c>
      <c r="C293" s="30" t="s">
        <v>22</v>
      </c>
      <c r="D293" s="23" t="s">
        <v>22</v>
      </c>
      <c r="E293" s="23" t="s">
        <v>67</v>
      </c>
      <c r="F293" s="23">
        <v>6</v>
      </c>
      <c r="G293" s="23" t="s">
        <v>19</v>
      </c>
      <c r="H293" s="23" t="s">
        <v>23</v>
      </c>
      <c r="I293" s="23">
        <f>IFERROR(INDEX('التقسيم Layout'!$J$4:$J$9,MATCH(C293,'التقسيم Layout'!$B$4:$B$9,0)),"")</f>
        <v>246</v>
      </c>
    </row>
    <row r="294" spans="1:9" ht="17.25" thickTop="1" thickBot="1" x14ac:dyDescent="0.25">
      <c r="A294" s="23">
        <v>290</v>
      </c>
      <c r="B294" s="26" t="s">
        <v>342</v>
      </c>
      <c r="C294" s="30" t="s">
        <v>22</v>
      </c>
      <c r="D294" s="23" t="s">
        <v>13</v>
      </c>
      <c r="E294" s="23" t="s">
        <v>59</v>
      </c>
      <c r="F294" s="23">
        <v>7</v>
      </c>
      <c r="G294" s="23" t="s">
        <v>19</v>
      </c>
      <c r="H294" s="23" t="s">
        <v>23</v>
      </c>
      <c r="I294" s="23">
        <f>IFERROR(INDEX('التقسيم Layout'!$J$4:$J$9,MATCH(C294,'التقسيم Layout'!$B$4:$B$9,0)),"")</f>
        <v>246</v>
      </c>
    </row>
    <row r="295" spans="1:9" ht="17.25" thickTop="1" thickBot="1" x14ac:dyDescent="0.25">
      <c r="A295" s="23">
        <v>291</v>
      </c>
      <c r="B295" s="26" t="s">
        <v>343</v>
      </c>
      <c r="C295" s="30" t="s">
        <v>22</v>
      </c>
      <c r="D295" s="23" t="s">
        <v>17</v>
      </c>
      <c r="E295" s="23" t="s">
        <v>61</v>
      </c>
      <c r="F295" s="23">
        <v>7</v>
      </c>
      <c r="G295" s="23" t="s">
        <v>19</v>
      </c>
      <c r="H295" s="23" t="s">
        <v>23</v>
      </c>
      <c r="I295" s="23">
        <f>IFERROR(INDEX('التقسيم Layout'!$J$4:$J$9,MATCH(C295,'التقسيم Layout'!$B$4:$B$9,0)),"")</f>
        <v>246</v>
      </c>
    </row>
    <row r="296" spans="1:9" ht="17.25" thickTop="1" thickBot="1" x14ac:dyDescent="0.25">
      <c r="A296" s="23">
        <v>292</v>
      </c>
      <c r="B296" s="26" t="s">
        <v>344</v>
      </c>
      <c r="C296" s="30" t="s">
        <v>22</v>
      </c>
      <c r="D296" s="23" t="s">
        <v>20</v>
      </c>
      <c r="E296" s="23" t="s">
        <v>63</v>
      </c>
      <c r="F296" s="23">
        <v>7</v>
      </c>
      <c r="G296" s="23" t="s">
        <v>19</v>
      </c>
      <c r="H296" s="23" t="s">
        <v>23</v>
      </c>
      <c r="I296" s="23">
        <f>IFERROR(INDEX('التقسيم Layout'!$J$4:$J$9,MATCH(C296,'التقسيم Layout'!$B$4:$B$9,0)),"")</f>
        <v>246</v>
      </c>
    </row>
    <row r="297" spans="1:9" ht="17.25" thickTop="1" thickBot="1" x14ac:dyDescent="0.25">
      <c r="A297" s="23">
        <v>293</v>
      </c>
      <c r="B297" s="26" t="s">
        <v>345</v>
      </c>
      <c r="C297" s="30" t="s">
        <v>22</v>
      </c>
      <c r="D297" s="23" t="s">
        <v>22</v>
      </c>
      <c r="E297" s="23" t="s">
        <v>67</v>
      </c>
      <c r="F297" s="23">
        <v>7</v>
      </c>
      <c r="G297" s="23" t="s">
        <v>19</v>
      </c>
      <c r="H297" s="23" t="s">
        <v>23</v>
      </c>
      <c r="I297" s="23">
        <f>IFERROR(INDEX('التقسيم Layout'!$J$4:$J$9,MATCH(C297,'التقسيم Layout'!$B$4:$B$9,0)),"")</f>
        <v>246</v>
      </c>
    </row>
    <row r="298" spans="1:9" ht="17.25" thickTop="1" thickBot="1" x14ac:dyDescent="0.25">
      <c r="A298" s="23">
        <v>294</v>
      </c>
      <c r="B298" s="26" t="s">
        <v>346</v>
      </c>
      <c r="C298" s="30" t="s">
        <v>22</v>
      </c>
      <c r="D298" s="23" t="s">
        <v>13</v>
      </c>
      <c r="E298" s="23" t="s">
        <v>59</v>
      </c>
      <c r="F298" s="23">
        <v>8</v>
      </c>
      <c r="G298" s="23" t="s">
        <v>19</v>
      </c>
      <c r="H298" s="23" t="s">
        <v>23</v>
      </c>
      <c r="I298" s="23">
        <f>IFERROR(INDEX('التقسيم Layout'!$J$4:$J$9,MATCH(C298,'التقسيم Layout'!$B$4:$B$9,0)),"")</f>
        <v>246</v>
      </c>
    </row>
    <row r="299" spans="1:9" ht="17.25" thickTop="1" thickBot="1" x14ac:dyDescent="0.25">
      <c r="A299" s="23">
        <v>295</v>
      </c>
      <c r="B299" s="26" t="s">
        <v>347</v>
      </c>
      <c r="C299" s="30" t="s">
        <v>22</v>
      </c>
      <c r="D299" s="23" t="s">
        <v>17</v>
      </c>
      <c r="E299" s="23" t="s">
        <v>61</v>
      </c>
      <c r="F299" s="23">
        <v>8</v>
      </c>
      <c r="G299" s="23" t="s">
        <v>19</v>
      </c>
      <c r="H299" s="23" t="s">
        <v>23</v>
      </c>
      <c r="I299" s="23">
        <f>IFERROR(INDEX('التقسيم Layout'!$J$4:$J$9,MATCH(C299,'التقسيم Layout'!$B$4:$B$9,0)),"")</f>
        <v>246</v>
      </c>
    </row>
    <row r="300" spans="1:9" ht="17.25" thickTop="1" thickBot="1" x14ac:dyDescent="0.25">
      <c r="A300" s="23">
        <v>296</v>
      </c>
      <c r="B300" s="26" t="s">
        <v>348</v>
      </c>
      <c r="C300" s="30" t="s">
        <v>22</v>
      </c>
      <c r="D300" s="23" t="s">
        <v>20</v>
      </c>
      <c r="E300" s="23" t="s">
        <v>63</v>
      </c>
      <c r="F300" s="23">
        <v>8</v>
      </c>
      <c r="G300" s="23" t="s">
        <v>19</v>
      </c>
      <c r="H300" s="23" t="s">
        <v>23</v>
      </c>
      <c r="I300" s="23">
        <f>IFERROR(INDEX('التقسيم Layout'!$J$4:$J$9,MATCH(C300,'التقسيم Layout'!$B$4:$B$9,0)),"")</f>
        <v>246</v>
      </c>
    </row>
    <row r="301" spans="1:9" ht="17.25" thickTop="1" thickBot="1" x14ac:dyDescent="0.25">
      <c r="A301" s="23">
        <v>297</v>
      </c>
      <c r="B301" s="26" t="s">
        <v>349</v>
      </c>
      <c r="C301" s="30" t="s">
        <v>22</v>
      </c>
      <c r="D301" s="23" t="s">
        <v>22</v>
      </c>
      <c r="E301" s="23" t="s">
        <v>67</v>
      </c>
      <c r="F301" s="23">
        <v>8</v>
      </c>
      <c r="G301" s="23" t="s">
        <v>19</v>
      </c>
      <c r="H301" s="23" t="s">
        <v>23</v>
      </c>
      <c r="I301" s="23">
        <f>IFERROR(INDEX('التقسيم Layout'!$J$4:$J$9,MATCH(C301,'التقسيم Layout'!$B$4:$B$9,0)),"")</f>
        <v>246</v>
      </c>
    </row>
    <row r="302" spans="1:9" ht="17.25" thickTop="1" thickBot="1" x14ac:dyDescent="0.25">
      <c r="A302" s="23">
        <v>298</v>
      </c>
      <c r="B302" s="26" t="s">
        <v>350</v>
      </c>
      <c r="C302" s="30" t="s">
        <v>22</v>
      </c>
      <c r="D302" s="23" t="s">
        <v>13</v>
      </c>
      <c r="E302" s="23" t="s">
        <v>59</v>
      </c>
      <c r="F302" s="23">
        <v>9</v>
      </c>
      <c r="G302" s="23" t="s">
        <v>19</v>
      </c>
      <c r="H302" s="23" t="s">
        <v>23</v>
      </c>
      <c r="I302" s="23">
        <f>IFERROR(INDEX('التقسيم Layout'!$J$4:$J$9,MATCH(C302,'التقسيم Layout'!$B$4:$B$9,0)),"")</f>
        <v>246</v>
      </c>
    </row>
    <row r="303" spans="1:9" ht="17.25" thickTop="1" thickBot="1" x14ac:dyDescent="0.25">
      <c r="A303" s="23">
        <v>299</v>
      </c>
      <c r="B303" s="26" t="s">
        <v>351</v>
      </c>
      <c r="C303" s="30" t="s">
        <v>22</v>
      </c>
      <c r="D303" s="23" t="s">
        <v>17</v>
      </c>
      <c r="E303" s="23" t="s">
        <v>61</v>
      </c>
      <c r="F303" s="23">
        <v>9</v>
      </c>
      <c r="G303" s="23" t="s">
        <v>19</v>
      </c>
      <c r="H303" s="23" t="s">
        <v>23</v>
      </c>
      <c r="I303" s="23">
        <f>IFERROR(INDEX('التقسيم Layout'!$J$4:$J$9,MATCH(C303,'التقسيم Layout'!$B$4:$B$9,0)),"")</f>
        <v>246</v>
      </c>
    </row>
    <row r="304" spans="1:9" ht="17.25" thickTop="1" thickBot="1" x14ac:dyDescent="0.25">
      <c r="A304" s="23">
        <v>300</v>
      </c>
      <c r="B304" s="26" t="s">
        <v>352</v>
      </c>
      <c r="C304" s="30" t="s">
        <v>22</v>
      </c>
      <c r="D304" s="23" t="s">
        <v>20</v>
      </c>
      <c r="E304" s="23" t="s">
        <v>63</v>
      </c>
      <c r="F304" s="23">
        <v>9</v>
      </c>
      <c r="G304" s="23" t="s">
        <v>19</v>
      </c>
      <c r="H304" s="23" t="s">
        <v>23</v>
      </c>
      <c r="I304" s="23">
        <f>IFERROR(INDEX('التقسيم Layout'!$J$4:$J$9,MATCH(C304,'التقسيم Layout'!$B$4:$B$9,0)),"")</f>
        <v>246</v>
      </c>
    </row>
    <row r="305" spans="1:9" ht="17.25" thickTop="1" thickBot="1" x14ac:dyDescent="0.25">
      <c r="A305" s="23">
        <v>301</v>
      </c>
      <c r="B305" s="26" t="s">
        <v>353</v>
      </c>
      <c r="C305" s="30" t="s">
        <v>22</v>
      </c>
      <c r="D305" s="23" t="s">
        <v>22</v>
      </c>
      <c r="E305" s="23" t="s">
        <v>67</v>
      </c>
      <c r="F305" s="23">
        <v>9</v>
      </c>
      <c r="G305" s="23" t="s">
        <v>19</v>
      </c>
      <c r="H305" s="23" t="s">
        <v>23</v>
      </c>
      <c r="I305" s="23">
        <f>IFERROR(INDEX('التقسيم Layout'!$J$4:$J$9,MATCH(C305,'التقسيم Layout'!$B$4:$B$9,0)),"")</f>
        <v>246</v>
      </c>
    </row>
    <row r="306" spans="1:9" ht="17.25" thickTop="1" thickBot="1" x14ac:dyDescent="0.25">
      <c r="A306" s="23">
        <v>302</v>
      </c>
      <c r="B306" s="26" t="s">
        <v>354</v>
      </c>
      <c r="C306" s="30" t="s">
        <v>22</v>
      </c>
      <c r="D306" s="23" t="s">
        <v>13</v>
      </c>
      <c r="E306" s="23" t="s">
        <v>59</v>
      </c>
      <c r="F306" s="23">
        <v>10</v>
      </c>
      <c r="G306" s="23" t="s">
        <v>19</v>
      </c>
      <c r="H306" s="23" t="s">
        <v>23</v>
      </c>
      <c r="I306" s="23">
        <f>IFERROR(INDEX('التقسيم Layout'!$J$4:$J$9,MATCH(C306,'التقسيم Layout'!$B$4:$B$9,0)),"")</f>
        <v>246</v>
      </c>
    </row>
    <row r="307" spans="1:9" ht="17.25" thickTop="1" thickBot="1" x14ac:dyDescent="0.25">
      <c r="A307" s="23">
        <v>303</v>
      </c>
      <c r="B307" s="26" t="s">
        <v>355</v>
      </c>
      <c r="C307" s="30" t="s">
        <v>22</v>
      </c>
      <c r="D307" s="23" t="s">
        <v>17</v>
      </c>
      <c r="E307" s="23" t="s">
        <v>61</v>
      </c>
      <c r="F307" s="23">
        <v>10</v>
      </c>
      <c r="G307" s="23" t="s">
        <v>19</v>
      </c>
      <c r="H307" s="23" t="s">
        <v>23</v>
      </c>
      <c r="I307" s="23">
        <f>IFERROR(INDEX('التقسيم Layout'!$J$4:$J$9,MATCH(C307,'التقسيم Layout'!$B$4:$B$9,0)),"")</f>
        <v>246</v>
      </c>
    </row>
    <row r="308" spans="1:9" ht="17.25" thickTop="1" thickBot="1" x14ac:dyDescent="0.25">
      <c r="A308" s="23">
        <v>304</v>
      </c>
      <c r="B308" s="26" t="s">
        <v>356</v>
      </c>
      <c r="C308" s="30" t="s">
        <v>22</v>
      </c>
      <c r="D308" s="23" t="s">
        <v>20</v>
      </c>
      <c r="E308" s="23" t="s">
        <v>63</v>
      </c>
      <c r="F308" s="23">
        <v>10</v>
      </c>
      <c r="G308" s="23" t="s">
        <v>19</v>
      </c>
      <c r="H308" s="23" t="s">
        <v>23</v>
      </c>
      <c r="I308" s="23">
        <f>IFERROR(INDEX('التقسيم Layout'!$J$4:$J$9,MATCH(C308,'التقسيم Layout'!$B$4:$B$9,0)),"")</f>
        <v>246</v>
      </c>
    </row>
    <row r="309" spans="1:9" ht="17.25" thickTop="1" thickBot="1" x14ac:dyDescent="0.25">
      <c r="A309" s="23">
        <v>305</v>
      </c>
      <c r="B309" s="26" t="s">
        <v>357</v>
      </c>
      <c r="C309" s="30" t="s">
        <v>22</v>
      </c>
      <c r="D309" s="23" t="s">
        <v>22</v>
      </c>
      <c r="E309" s="23" t="s">
        <v>67</v>
      </c>
      <c r="F309" s="23">
        <v>10</v>
      </c>
      <c r="G309" s="23" t="s">
        <v>19</v>
      </c>
      <c r="H309" s="23" t="s">
        <v>23</v>
      </c>
      <c r="I309" s="23">
        <f>IFERROR(INDEX('التقسيم Layout'!$J$4:$J$9,MATCH(C309,'التقسيم Layout'!$B$4:$B$9,0)),"")</f>
        <v>246</v>
      </c>
    </row>
    <row r="310" spans="1:9" ht="17.25" thickTop="1" thickBot="1" x14ac:dyDescent="0.25">
      <c r="A310" s="23">
        <v>306</v>
      </c>
      <c r="B310" s="26" t="s">
        <v>358</v>
      </c>
      <c r="C310" s="30" t="s">
        <v>22</v>
      </c>
      <c r="D310" s="23" t="s">
        <v>13</v>
      </c>
      <c r="E310" s="23" t="s">
        <v>59</v>
      </c>
      <c r="F310" s="23">
        <v>11</v>
      </c>
      <c r="G310" s="23" t="s">
        <v>19</v>
      </c>
      <c r="H310" s="23" t="s">
        <v>23</v>
      </c>
      <c r="I310" s="23">
        <f>IFERROR(INDEX('التقسيم Layout'!$J$4:$J$9,MATCH(C310,'التقسيم Layout'!$B$4:$B$9,0)),"")</f>
        <v>246</v>
      </c>
    </row>
    <row r="311" spans="1:9" ht="17.25" thickTop="1" thickBot="1" x14ac:dyDescent="0.25">
      <c r="A311" s="23">
        <v>307</v>
      </c>
      <c r="B311" s="26" t="s">
        <v>359</v>
      </c>
      <c r="C311" s="30" t="s">
        <v>22</v>
      </c>
      <c r="D311" s="23" t="s">
        <v>17</v>
      </c>
      <c r="E311" s="23" t="s">
        <v>61</v>
      </c>
      <c r="F311" s="23">
        <v>11</v>
      </c>
      <c r="G311" s="23" t="s">
        <v>19</v>
      </c>
      <c r="H311" s="23" t="s">
        <v>23</v>
      </c>
      <c r="I311" s="23">
        <f>IFERROR(INDEX('التقسيم Layout'!$J$4:$J$9,MATCH(C311,'التقسيم Layout'!$B$4:$B$9,0)),"")</f>
        <v>246</v>
      </c>
    </row>
    <row r="312" spans="1:9" ht="17.25" thickTop="1" thickBot="1" x14ac:dyDescent="0.25">
      <c r="A312" s="23">
        <v>308</v>
      </c>
      <c r="B312" s="26" t="s">
        <v>360</v>
      </c>
      <c r="C312" s="30" t="s">
        <v>22</v>
      </c>
      <c r="D312" s="23" t="s">
        <v>20</v>
      </c>
      <c r="E312" s="23" t="s">
        <v>63</v>
      </c>
      <c r="F312" s="23">
        <v>11</v>
      </c>
      <c r="G312" s="23" t="s">
        <v>19</v>
      </c>
      <c r="H312" s="23" t="s">
        <v>23</v>
      </c>
      <c r="I312" s="23">
        <f>IFERROR(INDEX('التقسيم Layout'!$J$4:$J$9,MATCH(C312,'التقسيم Layout'!$B$4:$B$9,0)),"")</f>
        <v>246</v>
      </c>
    </row>
    <row r="313" spans="1:9" ht="17.25" thickTop="1" thickBot="1" x14ac:dyDescent="0.25">
      <c r="A313" s="23">
        <v>309</v>
      </c>
      <c r="B313" s="26" t="s">
        <v>361</v>
      </c>
      <c r="C313" s="30" t="s">
        <v>22</v>
      </c>
      <c r="D313" s="23" t="s">
        <v>22</v>
      </c>
      <c r="E313" s="23" t="s">
        <v>67</v>
      </c>
      <c r="F313" s="23">
        <v>11</v>
      </c>
      <c r="G313" s="23" t="s">
        <v>19</v>
      </c>
      <c r="H313" s="23" t="s">
        <v>23</v>
      </c>
      <c r="I313" s="23">
        <f>IFERROR(INDEX('التقسيم Layout'!$J$4:$J$9,MATCH(C313,'التقسيم Layout'!$B$4:$B$9,0)),"")</f>
        <v>246</v>
      </c>
    </row>
    <row r="314" spans="1:9" ht="17.25" thickTop="1" thickBot="1" x14ac:dyDescent="0.25">
      <c r="A314" s="23">
        <v>310</v>
      </c>
      <c r="B314" s="26" t="s">
        <v>362</v>
      </c>
      <c r="C314" s="30" t="s">
        <v>22</v>
      </c>
      <c r="D314" s="23" t="s">
        <v>13</v>
      </c>
      <c r="E314" s="23" t="s">
        <v>59</v>
      </c>
      <c r="F314" s="23">
        <v>12</v>
      </c>
      <c r="G314" s="23" t="s">
        <v>19</v>
      </c>
      <c r="H314" s="23" t="s">
        <v>23</v>
      </c>
      <c r="I314" s="23">
        <f>IFERROR(INDEX('التقسيم Layout'!$J$4:$J$9,MATCH(C314,'التقسيم Layout'!$B$4:$B$9,0)),"")</f>
        <v>246</v>
      </c>
    </row>
    <row r="315" spans="1:9" ht="17.25" thickTop="1" thickBot="1" x14ac:dyDescent="0.25">
      <c r="A315" s="23">
        <v>311</v>
      </c>
      <c r="B315" s="26" t="s">
        <v>363</v>
      </c>
      <c r="C315" s="30" t="s">
        <v>22</v>
      </c>
      <c r="D315" s="23" t="s">
        <v>17</v>
      </c>
      <c r="E315" s="23" t="s">
        <v>61</v>
      </c>
      <c r="F315" s="23">
        <v>12</v>
      </c>
      <c r="G315" s="23" t="s">
        <v>19</v>
      </c>
      <c r="H315" s="23" t="s">
        <v>23</v>
      </c>
      <c r="I315" s="23">
        <f>IFERROR(INDEX('التقسيم Layout'!$J$4:$J$9,MATCH(C315,'التقسيم Layout'!$B$4:$B$9,0)),"")</f>
        <v>246</v>
      </c>
    </row>
    <row r="316" spans="1:9" ht="17.25" thickTop="1" thickBot="1" x14ac:dyDescent="0.25">
      <c r="A316" s="23">
        <v>312</v>
      </c>
      <c r="B316" s="26" t="s">
        <v>364</v>
      </c>
      <c r="C316" s="30" t="s">
        <v>22</v>
      </c>
      <c r="D316" s="23" t="s">
        <v>20</v>
      </c>
      <c r="E316" s="23" t="s">
        <v>63</v>
      </c>
      <c r="F316" s="23">
        <v>12</v>
      </c>
      <c r="G316" s="23" t="s">
        <v>19</v>
      </c>
      <c r="H316" s="23" t="s">
        <v>23</v>
      </c>
      <c r="I316" s="23">
        <f>IFERROR(INDEX('التقسيم Layout'!$J$4:$J$9,MATCH(C316,'التقسيم Layout'!$B$4:$B$9,0)),"")</f>
        <v>246</v>
      </c>
    </row>
    <row r="317" spans="1:9" ht="17.25" thickTop="1" thickBot="1" x14ac:dyDescent="0.25">
      <c r="A317" s="23">
        <v>313</v>
      </c>
      <c r="B317" s="26" t="s">
        <v>365</v>
      </c>
      <c r="C317" s="30" t="s">
        <v>22</v>
      </c>
      <c r="D317" s="23" t="s">
        <v>22</v>
      </c>
      <c r="E317" s="23" t="s">
        <v>67</v>
      </c>
      <c r="F317" s="23">
        <v>12</v>
      </c>
      <c r="G317" s="23" t="s">
        <v>19</v>
      </c>
      <c r="H317" s="23" t="s">
        <v>23</v>
      </c>
      <c r="I317" s="23">
        <f>IFERROR(INDEX('التقسيم Layout'!$J$4:$J$9,MATCH(C317,'التقسيم Layout'!$B$4:$B$9,0)),"")</f>
        <v>246</v>
      </c>
    </row>
    <row r="318" spans="1:9" ht="17.25" thickTop="1" thickBot="1" x14ac:dyDescent="0.25">
      <c r="A318" s="23">
        <v>314</v>
      </c>
      <c r="B318" s="26" t="s">
        <v>366</v>
      </c>
      <c r="C318" s="30" t="s">
        <v>22</v>
      </c>
      <c r="D318" s="23" t="s">
        <v>13</v>
      </c>
      <c r="E318" s="23" t="s">
        <v>59</v>
      </c>
      <c r="F318" s="23">
        <v>13</v>
      </c>
      <c r="G318" s="23" t="s">
        <v>19</v>
      </c>
      <c r="H318" s="23" t="s">
        <v>23</v>
      </c>
      <c r="I318" s="23">
        <f>IFERROR(INDEX('التقسيم Layout'!$J$4:$J$9,MATCH(C318,'التقسيم Layout'!$B$4:$B$9,0)),"")</f>
        <v>246</v>
      </c>
    </row>
    <row r="319" spans="1:9" ht="17.25" thickTop="1" thickBot="1" x14ac:dyDescent="0.25">
      <c r="A319" s="23">
        <v>315</v>
      </c>
      <c r="B319" s="26" t="s">
        <v>367</v>
      </c>
      <c r="C319" s="30" t="s">
        <v>22</v>
      </c>
      <c r="D319" s="23" t="s">
        <v>17</v>
      </c>
      <c r="E319" s="23" t="s">
        <v>61</v>
      </c>
      <c r="F319" s="23">
        <v>13</v>
      </c>
      <c r="G319" s="23" t="s">
        <v>19</v>
      </c>
      <c r="H319" s="23" t="s">
        <v>23</v>
      </c>
      <c r="I319" s="23">
        <f>IFERROR(INDEX('التقسيم Layout'!$J$4:$J$9,MATCH(C319,'التقسيم Layout'!$B$4:$B$9,0)),"")</f>
        <v>246</v>
      </c>
    </row>
    <row r="320" spans="1:9" ht="17.25" thickTop="1" thickBot="1" x14ac:dyDescent="0.25">
      <c r="A320" s="23">
        <v>316</v>
      </c>
      <c r="B320" s="26" t="s">
        <v>368</v>
      </c>
      <c r="C320" s="30" t="s">
        <v>22</v>
      </c>
      <c r="D320" s="23" t="s">
        <v>20</v>
      </c>
      <c r="E320" s="23" t="s">
        <v>63</v>
      </c>
      <c r="F320" s="23">
        <v>13</v>
      </c>
      <c r="G320" s="23" t="s">
        <v>19</v>
      </c>
      <c r="H320" s="23" t="s">
        <v>23</v>
      </c>
      <c r="I320" s="23">
        <f>IFERROR(INDEX('التقسيم Layout'!$J$4:$J$9,MATCH(C320,'التقسيم Layout'!$B$4:$B$9,0)),"")</f>
        <v>246</v>
      </c>
    </row>
    <row r="321" spans="1:9" ht="17.25" thickTop="1" thickBot="1" x14ac:dyDescent="0.25">
      <c r="A321" s="23">
        <v>317</v>
      </c>
      <c r="B321" s="26" t="s">
        <v>369</v>
      </c>
      <c r="C321" s="30" t="s">
        <v>22</v>
      </c>
      <c r="D321" s="23" t="s">
        <v>22</v>
      </c>
      <c r="E321" s="23" t="s">
        <v>67</v>
      </c>
      <c r="F321" s="23">
        <v>13</v>
      </c>
      <c r="G321" s="23" t="s">
        <v>19</v>
      </c>
      <c r="H321" s="23" t="s">
        <v>23</v>
      </c>
      <c r="I321" s="23">
        <f>IFERROR(INDEX('التقسيم Layout'!$J$4:$J$9,MATCH(C321,'التقسيم Layout'!$B$4:$B$9,0)),"")</f>
        <v>246</v>
      </c>
    </row>
    <row r="322" spans="1:9" ht="17.25" thickTop="1" thickBot="1" x14ac:dyDescent="0.25">
      <c r="A322" s="23">
        <v>318</v>
      </c>
      <c r="B322" s="26" t="s">
        <v>370</v>
      </c>
      <c r="C322" s="30" t="s">
        <v>22</v>
      </c>
      <c r="D322" s="23" t="s">
        <v>13</v>
      </c>
      <c r="E322" s="23" t="s">
        <v>59</v>
      </c>
      <c r="F322" s="23">
        <v>14</v>
      </c>
      <c r="G322" s="23" t="s">
        <v>19</v>
      </c>
      <c r="H322" s="23" t="s">
        <v>23</v>
      </c>
      <c r="I322" s="23">
        <f>IFERROR(INDEX('التقسيم Layout'!$J$4:$J$9,MATCH(C322,'التقسيم Layout'!$B$4:$B$9,0)),"")</f>
        <v>246</v>
      </c>
    </row>
    <row r="323" spans="1:9" ht="17.25" thickTop="1" thickBot="1" x14ac:dyDescent="0.25">
      <c r="A323" s="23">
        <v>319</v>
      </c>
      <c r="B323" s="26" t="s">
        <v>371</v>
      </c>
      <c r="C323" s="30" t="s">
        <v>22</v>
      </c>
      <c r="D323" s="23" t="s">
        <v>17</v>
      </c>
      <c r="E323" s="23" t="s">
        <v>61</v>
      </c>
      <c r="F323" s="23">
        <v>14</v>
      </c>
      <c r="G323" s="23" t="s">
        <v>19</v>
      </c>
      <c r="H323" s="23" t="s">
        <v>23</v>
      </c>
      <c r="I323" s="23">
        <f>IFERROR(INDEX('التقسيم Layout'!$J$4:$J$9,MATCH(C323,'التقسيم Layout'!$B$4:$B$9,0)),"")</f>
        <v>246</v>
      </c>
    </row>
    <row r="324" spans="1:9" ht="17.25" thickTop="1" thickBot="1" x14ac:dyDescent="0.25">
      <c r="A324" s="23">
        <v>320</v>
      </c>
      <c r="B324" s="26" t="s">
        <v>372</v>
      </c>
      <c r="C324" s="30" t="s">
        <v>22</v>
      </c>
      <c r="D324" s="23" t="s">
        <v>20</v>
      </c>
      <c r="E324" s="23" t="s">
        <v>63</v>
      </c>
      <c r="F324" s="23">
        <v>14</v>
      </c>
      <c r="G324" s="23" t="s">
        <v>19</v>
      </c>
      <c r="H324" s="23" t="s">
        <v>23</v>
      </c>
      <c r="I324" s="23">
        <f>IFERROR(INDEX('التقسيم Layout'!$J$4:$J$9,MATCH(C324,'التقسيم Layout'!$B$4:$B$9,0)),"")</f>
        <v>246</v>
      </c>
    </row>
    <row r="325" spans="1:9" ht="17.25" thickTop="1" thickBot="1" x14ac:dyDescent="0.25">
      <c r="A325" s="23">
        <v>321</v>
      </c>
      <c r="B325" s="26" t="s">
        <v>373</v>
      </c>
      <c r="C325" s="30" t="s">
        <v>22</v>
      </c>
      <c r="D325" s="23" t="s">
        <v>22</v>
      </c>
      <c r="E325" s="23" t="s">
        <v>67</v>
      </c>
      <c r="F325" s="23">
        <v>14</v>
      </c>
      <c r="G325" s="23" t="s">
        <v>19</v>
      </c>
      <c r="H325" s="23" t="s">
        <v>23</v>
      </c>
      <c r="I325" s="23">
        <f>IFERROR(INDEX('التقسيم Layout'!$J$4:$J$9,MATCH(C325,'التقسيم Layout'!$B$4:$B$9,0)),"")</f>
        <v>246</v>
      </c>
    </row>
    <row r="326" spans="1:9" ht="17.25" thickTop="1" thickBot="1" x14ac:dyDescent="0.25">
      <c r="A326" s="23">
        <v>322</v>
      </c>
      <c r="B326" s="26" t="s">
        <v>374</v>
      </c>
      <c r="C326" s="30" t="s">
        <v>22</v>
      </c>
      <c r="D326" s="23" t="s">
        <v>13</v>
      </c>
      <c r="E326" s="23" t="s">
        <v>59</v>
      </c>
      <c r="F326" s="23">
        <v>15</v>
      </c>
      <c r="G326" s="23" t="s">
        <v>19</v>
      </c>
      <c r="H326" s="23" t="s">
        <v>23</v>
      </c>
      <c r="I326" s="23">
        <f>IFERROR(INDEX('التقسيم Layout'!$J$4:$J$9,MATCH(C326,'التقسيم Layout'!$B$4:$B$9,0)),"")</f>
        <v>246</v>
      </c>
    </row>
    <row r="327" spans="1:9" ht="17.25" thickTop="1" thickBot="1" x14ac:dyDescent="0.25">
      <c r="A327" s="23">
        <v>323</v>
      </c>
      <c r="B327" s="26" t="s">
        <v>375</v>
      </c>
      <c r="C327" s="30" t="s">
        <v>22</v>
      </c>
      <c r="D327" s="23" t="s">
        <v>17</v>
      </c>
      <c r="E327" s="23" t="s">
        <v>61</v>
      </c>
      <c r="F327" s="23">
        <v>15</v>
      </c>
      <c r="G327" s="23" t="s">
        <v>19</v>
      </c>
      <c r="H327" s="23" t="s">
        <v>23</v>
      </c>
      <c r="I327" s="23">
        <f>IFERROR(INDEX('التقسيم Layout'!$J$4:$J$9,MATCH(C327,'التقسيم Layout'!$B$4:$B$9,0)),"")</f>
        <v>246</v>
      </c>
    </row>
    <row r="328" spans="1:9" ht="17.25" thickTop="1" thickBot="1" x14ac:dyDescent="0.25">
      <c r="A328" s="23">
        <v>324</v>
      </c>
      <c r="B328" s="26" t="s">
        <v>376</v>
      </c>
      <c r="C328" s="30" t="s">
        <v>22</v>
      </c>
      <c r="D328" s="23" t="s">
        <v>20</v>
      </c>
      <c r="E328" s="23" t="s">
        <v>63</v>
      </c>
      <c r="F328" s="23">
        <v>15</v>
      </c>
      <c r="G328" s="23" t="s">
        <v>19</v>
      </c>
      <c r="H328" s="23" t="s">
        <v>23</v>
      </c>
      <c r="I328" s="23">
        <f>IFERROR(INDEX('التقسيم Layout'!$J$4:$J$9,MATCH(C328,'التقسيم Layout'!$B$4:$B$9,0)),"")</f>
        <v>246</v>
      </c>
    </row>
    <row r="329" spans="1:9" ht="17.25" thickTop="1" thickBot="1" x14ac:dyDescent="0.25">
      <c r="A329" s="23">
        <v>325</v>
      </c>
      <c r="B329" s="26" t="s">
        <v>377</v>
      </c>
      <c r="C329" s="30" t="s">
        <v>22</v>
      </c>
      <c r="D329" s="23" t="s">
        <v>22</v>
      </c>
      <c r="E329" s="23" t="s">
        <v>67</v>
      </c>
      <c r="F329" s="23">
        <v>15</v>
      </c>
      <c r="G329" s="23" t="s">
        <v>19</v>
      </c>
      <c r="H329" s="23" t="s">
        <v>23</v>
      </c>
      <c r="I329" s="23">
        <f>IFERROR(INDEX('التقسيم Layout'!$J$4:$J$9,MATCH(C329,'التقسيم Layout'!$B$4:$B$9,0)),"")</f>
        <v>246</v>
      </c>
    </row>
    <row r="330" spans="1:9" ht="17.25" thickTop="1" thickBot="1" x14ac:dyDescent="0.25">
      <c r="A330" s="23">
        <v>326</v>
      </c>
      <c r="B330" s="26" t="s">
        <v>378</v>
      </c>
      <c r="C330" s="31" t="s">
        <v>26</v>
      </c>
      <c r="D330" s="23" t="s">
        <v>13</v>
      </c>
      <c r="E330" s="23" t="s">
        <v>59</v>
      </c>
      <c r="F330" s="23">
        <v>1</v>
      </c>
      <c r="G330" s="23" t="s">
        <v>25</v>
      </c>
      <c r="H330" s="23" t="s">
        <v>23</v>
      </c>
      <c r="I330" s="23">
        <f>IFERROR(INDEX('التقسيم Layout'!$J$4:$J$9,MATCH(C330,'التقسيم Layout'!$B$4:$B$9,0)),"")</f>
        <v>195</v>
      </c>
    </row>
    <row r="331" spans="1:9" ht="17.25" thickTop="1" thickBot="1" x14ac:dyDescent="0.25">
      <c r="A331" s="23">
        <v>327</v>
      </c>
      <c r="B331" s="26" t="s">
        <v>379</v>
      </c>
      <c r="C331" s="31" t="s">
        <v>26</v>
      </c>
      <c r="D331" s="23" t="s">
        <v>17</v>
      </c>
      <c r="E331" s="23" t="s">
        <v>61</v>
      </c>
      <c r="F331" s="23">
        <v>1</v>
      </c>
      <c r="G331" s="23" t="s">
        <v>25</v>
      </c>
      <c r="H331" s="23" t="s">
        <v>23</v>
      </c>
      <c r="I331" s="23">
        <f>IFERROR(INDEX('التقسيم Layout'!$J$4:$J$9,MATCH(C331,'التقسيم Layout'!$B$4:$B$9,0)),"")</f>
        <v>195</v>
      </c>
    </row>
    <row r="332" spans="1:9" ht="17.25" thickTop="1" thickBot="1" x14ac:dyDescent="0.25">
      <c r="A332" s="23">
        <v>328</v>
      </c>
      <c r="B332" s="26" t="s">
        <v>380</v>
      </c>
      <c r="C332" s="31" t="s">
        <v>26</v>
      </c>
      <c r="D332" s="23" t="s">
        <v>20</v>
      </c>
      <c r="E332" s="23" t="s">
        <v>63</v>
      </c>
      <c r="F332" s="23">
        <v>1</v>
      </c>
      <c r="G332" s="23" t="s">
        <v>25</v>
      </c>
      <c r="H332" s="23" t="s">
        <v>23</v>
      </c>
      <c r="I332" s="23">
        <f>IFERROR(INDEX('التقسيم Layout'!$J$4:$J$9,MATCH(C332,'التقسيم Layout'!$B$4:$B$9,0)),"")</f>
        <v>195</v>
      </c>
    </row>
    <row r="333" spans="1:9" ht="17.25" thickTop="1" thickBot="1" x14ac:dyDescent="0.25">
      <c r="A333" s="23">
        <v>329</v>
      </c>
      <c r="B333" s="26" t="s">
        <v>381</v>
      </c>
      <c r="C333" s="31" t="s">
        <v>26</v>
      </c>
      <c r="D333" s="23" t="s">
        <v>22</v>
      </c>
      <c r="E333" s="23" t="s">
        <v>65</v>
      </c>
      <c r="F333" s="23">
        <v>1</v>
      </c>
      <c r="G333" s="23" t="s">
        <v>25</v>
      </c>
      <c r="H333" s="23" t="s">
        <v>23</v>
      </c>
      <c r="I333" s="23">
        <f>IFERROR(INDEX('التقسيم Layout'!$J$4:$J$9,MATCH(C333,'التقسيم Layout'!$B$4:$B$9,0)),"")</f>
        <v>195</v>
      </c>
    </row>
    <row r="334" spans="1:9" ht="17.25" thickTop="1" thickBot="1" x14ac:dyDescent="0.25">
      <c r="A334" s="23">
        <v>330</v>
      </c>
      <c r="B334" s="26" t="s">
        <v>382</v>
      </c>
      <c r="C334" s="31" t="s">
        <v>26</v>
      </c>
      <c r="D334" s="23" t="s">
        <v>26</v>
      </c>
      <c r="E334" s="23" t="s">
        <v>67</v>
      </c>
      <c r="F334" s="23">
        <v>1</v>
      </c>
      <c r="G334" s="23" t="s">
        <v>25</v>
      </c>
      <c r="H334" s="23" t="s">
        <v>23</v>
      </c>
      <c r="I334" s="23">
        <f>IFERROR(INDEX('التقسيم Layout'!$J$4:$J$9,MATCH(C334,'التقسيم Layout'!$B$4:$B$9,0)),"")</f>
        <v>195</v>
      </c>
    </row>
    <row r="335" spans="1:9" ht="17.25" thickTop="1" thickBot="1" x14ac:dyDescent="0.25">
      <c r="A335" s="23">
        <v>331</v>
      </c>
      <c r="B335" s="26" t="s">
        <v>383</v>
      </c>
      <c r="C335" s="31" t="s">
        <v>26</v>
      </c>
      <c r="D335" s="23" t="s">
        <v>13</v>
      </c>
      <c r="E335" s="23" t="s">
        <v>59</v>
      </c>
      <c r="F335" s="23">
        <v>2</v>
      </c>
      <c r="G335" s="23" t="s">
        <v>25</v>
      </c>
      <c r="H335" s="23" t="s">
        <v>23</v>
      </c>
      <c r="I335" s="23">
        <f>IFERROR(INDEX('التقسيم Layout'!$J$4:$J$9,MATCH(C335,'التقسيم Layout'!$B$4:$B$9,0)),"")</f>
        <v>195</v>
      </c>
    </row>
    <row r="336" spans="1:9" ht="17.25" thickTop="1" thickBot="1" x14ac:dyDescent="0.25">
      <c r="A336" s="23">
        <v>332</v>
      </c>
      <c r="B336" s="26" t="s">
        <v>384</v>
      </c>
      <c r="C336" s="31" t="s">
        <v>26</v>
      </c>
      <c r="D336" s="23" t="s">
        <v>17</v>
      </c>
      <c r="E336" s="23" t="s">
        <v>61</v>
      </c>
      <c r="F336" s="23">
        <v>2</v>
      </c>
      <c r="G336" s="23" t="s">
        <v>25</v>
      </c>
      <c r="H336" s="23" t="s">
        <v>23</v>
      </c>
      <c r="I336" s="23">
        <f>IFERROR(INDEX('التقسيم Layout'!$J$4:$J$9,MATCH(C336,'التقسيم Layout'!$B$4:$B$9,0)),"")</f>
        <v>195</v>
      </c>
    </row>
    <row r="337" spans="1:9" ht="17.25" thickTop="1" thickBot="1" x14ac:dyDescent="0.25">
      <c r="A337" s="23">
        <v>333</v>
      </c>
      <c r="B337" s="26" t="s">
        <v>385</v>
      </c>
      <c r="C337" s="31" t="s">
        <v>26</v>
      </c>
      <c r="D337" s="23" t="s">
        <v>20</v>
      </c>
      <c r="E337" s="23" t="s">
        <v>63</v>
      </c>
      <c r="F337" s="23">
        <v>2</v>
      </c>
      <c r="G337" s="23" t="s">
        <v>25</v>
      </c>
      <c r="H337" s="23" t="s">
        <v>23</v>
      </c>
      <c r="I337" s="23">
        <f>IFERROR(INDEX('التقسيم Layout'!$J$4:$J$9,MATCH(C337,'التقسيم Layout'!$B$4:$B$9,0)),"")</f>
        <v>195</v>
      </c>
    </row>
    <row r="338" spans="1:9" ht="17.25" thickTop="1" thickBot="1" x14ac:dyDescent="0.25">
      <c r="A338" s="23">
        <v>334</v>
      </c>
      <c r="B338" s="26" t="s">
        <v>386</v>
      </c>
      <c r="C338" s="31" t="s">
        <v>26</v>
      </c>
      <c r="D338" s="23" t="s">
        <v>22</v>
      </c>
      <c r="E338" s="23" t="s">
        <v>65</v>
      </c>
      <c r="F338" s="23">
        <v>2</v>
      </c>
      <c r="G338" s="23" t="s">
        <v>25</v>
      </c>
      <c r="H338" s="23" t="s">
        <v>23</v>
      </c>
      <c r="I338" s="23">
        <f>IFERROR(INDEX('التقسيم Layout'!$J$4:$J$9,MATCH(C338,'التقسيم Layout'!$B$4:$B$9,0)),"")</f>
        <v>195</v>
      </c>
    </row>
    <row r="339" spans="1:9" ht="17.25" thickTop="1" thickBot="1" x14ac:dyDescent="0.25">
      <c r="A339" s="23">
        <v>335</v>
      </c>
      <c r="B339" s="26" t="s">
        <v>387</v>
      </c>
      <c r="C339" s="31" t="s">
        <v>26</v>
      </c>
      <c r="D339" s="23" t="s">
        <v>26</v>
      </c>
      <c r="E339" s="23" t="s">
        <v>67</v>
      </c>
      <c r="F339" s="23">
        <v>2</v>
      </c>
      <c r="G339" s="23" t="s">
        <v>25</v>
      </c>
      <c r="H339" s="23" t="s">
        <v>23</v>
      </c>
      <c r="I339" s="23">
        <f>IFERROR(INDEX('التقسيم Layout'!$J$4:$J$9,MATCH(C339,'التقسيم Layout'!$B$4:$B$9,0)),"")</f>
        <v>195</v>
      </c>
    </row>
    <row r="340" spans="1:9" ht="17.25" thickTop="1" thickBot="1" x14ac:dyDescent="0.25">
      <c r="A340" s="23">
        <v>336</v>
      </c>
      <c r="B340" s="26" t="s">
        <v>388</v>
      </c>
      <c r="C340" s="31" t="s">
        <v>26</v>
      </c>
      <c r="D340" s="23" t="s">
        <v>13</v>
      </c>
      <c r="E340" s="23" t="s">
        <v>59</v>
      </c>
      <c r="F340" s="23">
        <v>3</v>
      </c>
      <c r="G340" s="23" t="s">
        <v>25</v>
      </c>
      <c r="H340" s="23" t="s">
        <v>23</v>
      </c>
      <c r="I340" s="23">
        <f>IFERROR(INDEX('التقسيم Layout'!$J$4:$J$9,MATCH(C340,'التقسيم Layout'!$B$4:$B$9,0)),"")</f>
        <v>195</v>
      </c>
    </row>
    <row r="341" spans="1:9" ht="17.25" thickTop="1" thickBot="1" x14ac:dyDescent="0.25">
      <c r="A341" s="23">
        <v>337</v>
      </c>
      <c r="B341" s="26" t="s">
        <v>389</v>
      </c>
      <c r="C341" s="31" t="s">
        <v>26</v>
      </c>
      <c r="D341" s="23" t="s">
        <v>17</v>
      </c>
      <c r="E341" s="23" t="s">
        <v>61</v>
      </c>
      <c r="F341" s="23">
        <v>3</v>
      </c>
      <c r="G341" s="23" t="s">
        <v>25</v>
      </c>
      <c r="H341" s="23" t="s">
        <v>23</v>
      </c>
      <c r="I341" s="23">
        <f>IFERROR(INDEX('التقسيم Layout'!$J$4:$J$9,MATCH(C341,'التقسيم Layout'!$B$4:$B$9,0)),"")</f>
        <v>195</v>
      </c>
    </row>
    <row r="342" spans="1:9" ht="17.25" thickTop="1" thickBot="1" x14ac:dyDescent="0.25">
      <c r="A342" s="23">
        <v>338</v>
      </c>
      <c r="B342" s="26" t="s">
        <v>390</v>
      </c>
      <c r="C342" s="31" t="s">
        <v>26</v>
      </c>
      <c r="D342" s="23" t="s">
        <v>20</v>
      </c>
      <c r="E342" s="23" t="s">
        <v>63</v>
      </c>
      <c r="F342" s="23">
        <v>3</v>
      </c>
      <c r="G342" s="23" t="s">
        <v>25</v>
      </c>
      <c r="H342" s="23" t="s">
        <v>23</v>
      </c>
      <c r="I342" s="23">
        <f>IFERROR(INDEX('التقسيم Layout'!$J$4:$J$9,MATCH(C342,'التقسيم Layout'!$B$4:$B$9,0)),"")</f>
        <v>195</v>
      </c>
    </row>
    <row r="343" spans="1:9" ht="17.25" thickTop="1" thickBot="1" x14ac:dyDescent="0.25">
      <c r="A343" s="23">
        <v>339</v>
      </c>
      <c r="B343" s="26" t="s">
        <v>391</v>
      </c>
      <c r="C343" s="31" t="s">
        <v>26</v>
      </c>
      <c r="D343" s="23" t="s">
        <v>22</v>
      </c>
      <c r="E343" s="23" t="s">
        <v>65</v>
      </c>
      <c r="F343" s="23">
        <v>3</v>
      </c>
      <c r="G343" s="23" t="s">
        <v>25</v>
      </c>
      <c r="H343" s="23" t="s">
        <v>23</v>
      </c>
      <c r="I343" s="23">
        <f>IFERROR(INDEX('التقسيم Layout'!$J$4:$J$9,MATCH(C343,'التقسيم Layout'!$B$4:$B$9,0)),"")</f>
        <v>195</v>
      </c>
    </row>
    <row r="344" spans="1:9" ht="17.25" thickTop="1" thickBot="1" x14ac:dyDescent="0.25">
      <c r="A344" s="23">
        <v>340</v>
      </c>
      <c r="B344" s="26" t="s">
        <v>392</v>
      </c>
      <c r="C344" s="31" t="s">
        <v>26</v>
      </c>
      <c r="D344" s="23" t="s">
        <v>26</v>
      </c>
      <c r="E344" s="23" t="s">
        <v>67</v>
      </c>
      <c r="F344" s="23">
        <v>3</v>
      </c>
      <c r="G344" s="23" t="s">
        <v>25</v>
      </c>
      <c r="H344" s="23" t="s">
        <v>23</v>
      </c>
      <c r="I344" s="23">
        <f>IFERROR(INDEX('التقسيم Layout'!$J$4:$J$9,MATCH(C344,'التقسيم Layout'!$B$4:$B$9,0)),"")</f>
        <v>195</v>
      </c>
    </row>
    <row r="345" spans="1:9" ht="17.25" thickTop="1" thickBot="1" x14ac:dyDescent="0.25">
      <c r="A345" s="23">
        <v>341</v>
      </c>
      <c r="B345" s="26" t="s">
        <v>393</v>
      </c>
      <c r="C345" s="31" t="s">
        <v>26</v>
      </c>
      <c r="D345" s="23" t="s">
        <v>13</v>
      </c>
      <c r="E345" s="23" t="s">
        <v>59</v>
      </c>
      <c r="F345" s="23">
        <v>4</v>
      </c>
      <c r="G345" s="23" t="s">
        <v>25</v>
      </c>
      <c r="H345" s="23" t="s">
        <v>23</v>
      </c>
      <c r="I345" s="23">
        <f>IFERROR(INDEX('التقسيم Layout'!$J$4:$J$9,MATCH(C345,'التقسيم Layout'!$B$4:$B$9,0)),"")</f>
        <v>195</v>
      </c>
    </row>
    <row r="346" spans="1:9" ht="17.25" thickTop="1" thickBot="1" x14ac:dyDescent="0.25">
      <c r="A346" s="23">
        <v>342</v>
      </c>
      <c r="B346" s="26" t="s">
        <v>394</v>
      </c>
      <c r="C346" s="31" t="s">
        <v>26</v>
      </c>
      <c r="D346" s="23" t="s">
        <v>17</v>
      </c>
      <c r="E346" s="23" t="s">
        <v>61</v>
      </c>
      <c r="F346" s="23">
        <v>4</v>
      </c>
      <c r="G346" s="23" t="s">
        <v>25</v>
      </c>
      <c r="H346" s="23" t="s">
        <v>23</v>
      </c>
      <c r="I346" s="23">
        <f>IFERROR(INDEX('التقسيم Layout'!$J$4:$J$9,MATCH(C346,'التقسيم Layout'!$B$4:$B$9,0)),"")</f>
        <v>195</v>
      </c>
    </row>
    <row r="347" spans="1:9" ht="17.25" thickTop="1" thickBot="1" x14ac:dyDescent="0.25">
      <c r="A347" s="23">
        <v>343</v>
      </c>
      <c r="B347" s="26" t="s">
        <v>395</v>
      </c>
      <c r="C347" s="31" t="s">
        <v>26</v>
      </c>
      <c r="D347" s="23" t="s">
        <v>20</v>
      </c>
      <c r="E347" s="23" t="s">
        <v>63</v>
      </c>
      <c r="F347" s="23">
        <v>4</v>
      </c>
      <c r="G347" s="23" t="s">
        <v>25</v>
      </c>
      <c r="H347" s="23" t="s">
        <v>23</v>
      </c>
      <c r="I347" s="23">
        <f>IFERROR(INDEX('التقسيم Layout'!$J$4:$J$9,MATCH(C347,'التقسيم Layout'!$B$4:$B$9,0)),"")</f>
        <v>195</v>
      </c>
    </row>
    <row r="348" spans="1:9" ht="17.25" thickTop="1" thickBot="1" x14ac:dyDescent="0.25">
      <c r="A348" s="23">
        <v>344</v>
      </c>
      <c r="B348" s="26" t="s">
        <v>396</v>
      </c>
      <c r="C348" s="31" t="s">
        <v>26</v>
      </c>
      <c r="D348" s="23" t="s">
        <v>22</v>
      </c>
      <c r="E348" s="23" t="s">
        <v>65</v>
      </c>
      <c r="F348" s="23">
        <v>4</v>
      </c>
      <c r="G348" s="23" t="s">
        <v>25</v>
      </c>
      <c r="H348" s="23" t="s">
        <v>23</v>
      </c>
      <c r="I348" s="23">
        <f>IFERROR(INDEX('التقسيم Layout'!$J$4:$J$9,MATCH(C348,'التقسيم Layout'!$B$4:$B$9,0)),"")</f>
        <v>195</v>
      </c>
    </row>
    <row r="349" spans="1:9" ht="17.25" thickTop="1" thickBot="1" x14ac:dyDescent="0.25">
      <c r="A349" s="23">
        <v>345</v>
      </c>
      <c r="B349" s="26" t="s">
        <v>397</v>
      </c>
      <c r="C349" s="31" t="s">
        <v>26</v>
      </c>
      <c r="D349" s="23" t="s">
        <v>26</v>
      </c>
      <c r="E349" s="23" t="s">
        <v>67</v>
      </c>
      <c r="F349" s="23">
        <v>4</v>
      </c>
      <c r="G349" s="23" t="s">
        <v>25</v>
      </c>
      <c r="H349" s="23" t="s">
        <v>23</v>
      </c>
      <c r="I349" s="23">
        <f>IFERROR(INDEX('التقسيم Layout'!$J$4:$J$9,MATCH(C349,'التقسيم Layout'!$B$4:$B$9,0)),"")</f>
        <v>195</v>
      </c>
    </row>
    <row r="350" spans="1:9" ht="17.25" thickTop="1" thickBot="1" x14ac:dyDescent="0.25">
      <c r="A350" s="23">
        <v>346</v>
      </c>
      <c r="B350" s="26" t="s">
        <v>398</v>
      </c>
      <c r="C350" s="31" t="s">
        <v>26</v>
      </c>
      <c r="D350" s="23" t="s">
        <v>13</v>
      </c>
      <c r="E350" s="23" t="s">
        <v>59</v>
      </c>
      <c r="F350" s="23">
        <v>5</v>
      </c>
      <c r="G350" s="23" t="s">
        <v>25</v>
      </c>
      <c r="H350" s="23" t="s">
        <v>23</v>
      </c>
      <c r="I350" s="23">
        <f>IFERROR(INDEX('التقسيم Layout'!$J$4:$J$9,MATCH(C350,'التقسيم Layout'!$B$4:$B$9,0)),"")</f>
        <v>195</v>
      </c>
    </row>
    <row r="351" spans="1:9" ht="17.25" thickTop="1" thickBot="1" x14ac:dyDescent="0.25">
      <c r="A351" s="23">
        <v>347</v>
      </c>
      <c r="B351" s="26" t="s">
        <v>399</v>
      </c>
      <c r="C351" s="31" t="s">
        <v>26</v>
      </c>
      <c r="D351" s="23" t="s">
        <v>17</v>
      </c>
      <c r="E351" s="23" t="s">
        <v>61</v>
      </c>
      <c r="F351" s="23">
        <v>5</v>
      </c>
      <c r="G351" s="23" t="s">
        <v>25</v>
      </c>
      <c r="H351" s="23" t="s">
        <v>23</v>
      </c>
      <c r="I351" s="23">
        <f>IFERROR(INDEX('التقسيم Layout'!$J$4:$J$9,MATCH(C351,'التقسيم Layout'!$B$4:$B$9,0)),"")</f>
        <v>195</v>
      </c>
    </row>
    <row r="352" spans="1:9" ht="17.25" thickTop="1" thickBot="1" x14ac:dyDescent="0.25">
      <c r="A352" s="23">
        <v>348</v>
      </c>
      <c r="B352" s="26" t="s">
        <v>400</v>
      </c>
      <c r="C352" s="31" t="s">
        <v>26</v>
      </c>
      <c r="D352" s="23" t="s">
        <v>20</v>
      </c>
      <c r="E352" s="23" t="s">
        <v>63</v>
      </c>
      <c r="F352" s="23">
        <v>5</v>
      </c>
      <c r="G352" s="23" t="s">
        <v>25</v>
      </c>
      <c r="H352" s="23" t="s">
        <v>23</v>
      </c>
      <c r="I352" s="23">
        <f>IFERROR(INDEX('التقسيم Layout'!$J$4:$J$9,MATCH(C352,'التقسيم Layout'!$B$4:$B$9,0)),"")</f>
        <v>195</v>
      </c>
    </row>
    <row r="353" spans="1:9" ht="17.25" thickTop="1" thickBot="1" x14ac:dyDescent="0.25">
      <c r="A353" s="23">
        <v>349</v>
      </c>
      <c r="B353" s="26" t="s">
        <v>401</v>
      </c>
      <c r="C353" s="31" t="s">
        <v>26</v>
      </c>
      <c r="D353" s="23" t="s">
        <v>22</v>
      </c>
      <c r="E353" s="23" t="s">
        <v>65</v>
      </c>
      <c r="F353" s="23">
        <v>5</v>
      </c>
      <c r="G353" s="23" t="s">
        <v>25</v>
      </c>
      <c r="H353" s="23" t="s">
        <v>23</v>
      </c>
      <c r="I353" s="23">
        <f>IFERROR(INDEX('التقسيم Layout'!$J$4:$J$9,MATCH(C353,'التقسيم Layout'!$B$4:$B$9,0)),"")</f>
        <v>195</v>
      </c>
    </row>
    <row r="354" spans="1:9" ht="17.25" thickTop="1" thickBot="1" x14ac:dyDescent="0.25">
      <c r="A354" s="23">
        <v>350</v>
      </c>
      <c r="B354" s="26" t="s">
        <v>402</v>
      </c>
      <c r="C354" s="31" t="s">
        <v>26</v>
      </c>
      <c r="D354" s="23" t="s">
        <v>26</v>
      </c>
      <c r="E354" s="23" t="s">
        <v>67</v>
      </c>
      <c r="F354" s="23">
        <v>5</v>
      </c>
      <c r="G354" s="23" t="s">
        <v>25</v>
      </c>
      <c r="H354" s="23" t="s">
        <v>23</v>
      </c>
      <c r="I354" s="23">
        <f>IFERROR(INDEX('التقسيم Layout'!$J$4:$J$9,MATCH(C354,'التقسيم Layout'!$B$4:$B$9,0)),"")</f>
        <v>195</v>
      </c>
    </row>
    <row r="355" spans="1:9" ht="17.25" thickTop="1" thickBot="1" x14ac:dyDescent="0.25">
      <c r="A355" s="23">
        <v>351</v>
      </c>
      <c r="B355" s="26" t="s">
        <v>403</v>
      </c>
      <c r="C355" s="31" t="s">
        <v>26</v>
      </c>
      <c r="D355" s="23" t="s">
        <v>13</v>
      </c>
      <c r="E355" s="23" t="s">
        <v>59</v>
      </c>
      <c r="F355" s="23">
        <v>6</v>
      </c>
      <c r="G355" s="23" t="s">
        <v>25</v>
      </c>
      <c r="H355" s="23" t="s">
        <v>23</v>
      </c>
      <c r="I355" s="23">
        <f>IFERROR(INDEX('التقسيم Layout'!$J$4:$J$9,MATCH(C355,'التقسيم Layout'!$B$4:$B$9,0)),"")</f>
        <v>195</v>
      </c>
    </row>
    <row r="356" spans="1:9" ht="17.25" thickTop="1" thickBot="1" x14ac:dyDescent="0.25">
      <c r="A356" s="23">
        <v>352</v>
      </c>
      <c r="B356" s="26" t="s">
        <v>404</v>
      </c>
      <c r="C356" s="31" t="s">
        <v>26</v>
      </c>
      <c r="D356" s="23" t="s">
        <v>17</v>
      </c>
      <c r="E356" s="23" t="s">
        <v>61</v>
      </c>
      <c r="F356" s="23">
        <v>6</v>
      </c>
      <c r="G356" s="23" t="s">
        <v>25</v>
      </c>
      <c r="H356" s="23" t="s">
        <v>23</v>
      </c>
      <c r="I356" s="23">
        <f>IFERROR(INDEX('التقسيم Layout'!$J$4:$J$9,MATCH(C356,'التقسيم Layout'!$B$4:$B$9,0)),"")</f>
        <v>195</v>
      </c>
    </row>
    <row r="357" spans="1:9" ht="17.25" thickTop="1" thickBot="1" x14ac:dyDescent="0.25">
      <c r="A357" s="23">
        <v>353</v>
      </c>
      <c r="B357" s="26" t="s">
        <v>405</v>
      </c>
      <c r="C357" s="31" t="s">
        <v>26</v>
      </c>
      <c r="D357" s="23" t="s">
        <v>20</v>
      </c>
      <c r="E357" s="23" t="s">
        <v>63</v>
      </c>
      <c r="F357" s="23">
        <v>6</v>
      </c>
      <c r="G357" s="23" t="s">
        <v>25</v>
      </c>
      <c r="H357" s="23" t="s">
        <v>23</v>
      </c>
      <c r="I357" s="23">
        <f>IFERROR(INDEX('التقسيم Layout'!$J$4:$J$9,MATCH(C357,'التقسيم Layout'!$B$4:$B$9,0)),"")</f>
        <v>195</v>
      </c>
    </row>
    <row r="358" spans="1:9" ht="17.25" thickTop="1" thickBot="1" x14ac:dyDescent="0.25">
      <c r="A358" s="23">
        <v>354</v>
      </c>
      <c r="B358" s="26" t="s">
        <v>406</v>
      </c>
      <c r="C358" s="31" t="s">
        <v>26</v>
      </c>
      <c r="D358" s="23" t="s">
        <v>22</v>
      </c>
      <c r="E358" s="23" t="s">
        <v>65</v>
      </c>
      <c r="F358" s="23">
        <v>6</v>
      </c>
      <c r="G358" s="23" t="s">
        <v>25</v>
      </c>
      <c r="H358" s="23" t="s">
        <v>23</v>
      </c>
      <c r="I358" s="23">
        <f>IFERROR(INDEX('التقسيم Layout'!$J$4:$J$9,MATCH(C358,'التقسيم Layout'!$B$4:$B$9,0)),"")</f>
        <v>195</v>
      </c>
    </row>
    <row r="359" spans="1:9" ht="17.25" thickTop="1" thickBot="1" x14ac:dyDescent="0.25">
      <c r="A359" s="23">
        <v>355</v>
      </c>
      <c r="B359" s="26" t="s">
        <v>407</v>
      </c>
      <c r="C359" s="31" t="s">
        <v>26</v>
      </c>
      <c r="D359" s="23" t="s">
        <v>26</v>
      </c>
      <c r="E359" s="23" t="s">
        <v>67</v>
      </c>
      <c r="F359" s="23">
        <v>6</v>
      </c>
      <c r="G359" s="23" t="s">
        <v>25</v>
      </c>
      <c r="H359" s="23" t="s">
        <v>23</v>
      </c>
      <c r="I359" s="23">
        <f>IFERROR(INDEX('التقسيم Layout'!$J$4:$J$9,MATCH(C359,'التقسيم Layout'!$B$4:$B$9,0)),"")</f>
        <v>195</v>
      </c>
    </row>
    <row r="360" spans="1:9" ht="17.25" thickTop="1" thickBot="1" x14ac:dyDescent="0.25">
      <c r="A360" s="23">
        <v>356</v>
      </c>
      <c r="B360" s="26" t="s">
        <v>408</v>
      </c>
      <c r="C360" s="31" t="s">
        <v>26</v>
      </c>
      <c r="D360" s="23" t="s">
        <v>13</v>
      </c>
      <c r="E360" s="23" t="s">
        <v>59</v>
      </c>
      <c r="F360" s="23">
        <v>7</v>
      </c>
      <c r="G360" s="23" t="s">
        <v>25</v>
      </c>
      <c r="H360" s="23" t="s">
        <v>23</v>
      </c>
      <c r="I360" s="23">
        <f>IFERROR(INDEX('التقسيم Layout'!$J$4:$J$9,MATCH(C360,'التقسيم Layout'!$B$4:$B$9,0)),"")</f>
        <v>195</v>
      </c>
    </row>
    <row r="361" spans="1:9" ht="17.25" thickTop="1" thickBot="1" x14ac:dyDescent="0.25">
      <c r="A361" s="23">
        <v>357</v>
      </c>
      <c r="B361" s="26" t="s">
        <v>409</v>
      </c>
      <c r="C361" s="31" t="s">
        <v>26</v>
      </c>
      <c r="D361" s="23" t="s">
        <v>17</v>
      </c>
      <c r="E361" s="23" t="s">
        <v>61</v>
      </c>
      <c r="F361" s="23">
        <v>7</v>
      </c>
      <c r="G361" s="23" t="s">
        <v>25</v>
      </c>
      <c r="H361" s="23" t="s">
        <v>23</v>
      </c>
      <c r="I361" s="23">
        <f>IFERROR(INDEX('التقسيم Layout'!$J$4:$J$9,MATCH(C361,'التقسيم Layout'!$B$4:$B$9,0)),"")</f>
        <v>195</v>
      </c>
    </row>
    <row r="362" spans="1:9" ht="17.25" thickTop="1" thickBot="1" x14ac:dyDescent="0.25">
      <c r="A362" s="23">
        <v>358</v>
      </c>
      <c r="B362" s="26" t="s">
        <v>410</v>
      </c>
      <c r="C362" s="31" t="s">
        <v>26</v>
      </c>
      <c r="D362" s="23" t="s">
        <v>20</v>
      </c>
      <c r="E362" s="23" t="s">
        <v>63</v>
      </c>
      <c r="F362" s="23">
        <v>7</v>
      </c>
      <c r="G362" s="23" t="s">
        <v>25</v>
      </c>
      <c r="H362" s="23" t="s">
        <v>23</v>
      </c>
      <c r="I362" s="23">
        <f>IFERROR(INDEX('التقسيم Layout'!$J$4:$J$9,MATCH(C362,'التقسيم Layout'!$B$4:$B$9,0)),"")</f>
        <v>195</v>
      </c>
    </row>
    <row r="363" spans="1:9" ht="17.25" thickTop="1" thickBot="1" x14ac:dyDescent="0.25">
      <c r="A363" s="23">
        <v>359</v>
      </c>
      <c r="B363" s="26" t="s">
        <v>411</v>
      </c>
      <c r="C363" s="31" t="s">
        <v>26</v>
      </c>
      <c r="D363" s="23" t="s">
        <v>22</v>
      </c>
      <c r="E363" s="23" t="s">
        <v>65</v>
      </c>
      <c r="F363" s="23">
        <v>7</v>
      </c>
      <c r="G363" s="23" t="s">
        <v>25</v>
      </c>
      <c r="H363" s="23" t="s">
        <v>23</v>
      </c>
      <c r="I363" s="23">
        <f>IFERROR(INDEX('التقسيم Layout'!$J$4:$J$9,MATCH(C363,'التقسيم Layout'!$B$4:$B$9,0)),"")</f>
        <v>195</v>
      </c>
    </row>
    <row r="364" spans="1:9" ht="17.25" thickTop="1" thickBot="1" x14ac:dyDescent="0.25">
      <c r="A364" s="23">
        <v>360</v>
      </c>
      <c r="B364" s="26" t="s">
        <v>412</v>
      </c>
      <c r="C364" s="31" t="s">
        <v>26</v>
      </c>
      <c r="D364" s="23" t="s">
        <v>26</v>
      </c>
      <c r="E364" s="23" t="s">
        <v>67</v>
      </c>
      <c r="F364" s="23">
        <v>7</v>
      </c>
      <c r="G364" s="23" t="s">
        <v>25</v>
      </c>
      <c r="H364" s="23" t="s">
        <v>23</v>
      </c>
      <c r="I364" s="23">
        <f>IFERROR(INDEX('التقسيم Layout'!$J$4:$J$9,MATCH(C364,'التقسيم Layout'!$B$4:$B$9,0)),"")</f>
        <v>195</v>
      </c>
    </row>
    <row r="365" spans="1:9" ht="17.25" thickTop="1" thickBot="1" x14ac:dyDescent="0.25">
      <c r="A365" s="23">
        <v>361</v>
      </c>
      <c r="B365" s="26" t="s">
        <v>413</v>
      </c>
      <c r="C365" s="31" t="s">
        <v>26</v>
      </c>
      <c r="D365" s="23" t="s">
        <v>13</v>
      </c>
      <c r="E365" s="23" t="s">
        <v>59</v>
      </c>
      <c r="F365" s="23">
        <v>8</v>
      </c>
      <c r="G365" s="23" t="s">
        <v>25</v>
      </c>
      <c r="H365" s="23" t="s">
        <v>23</v>
      </c>
      <c r="I365" s="23">
        <f>IFERROR(INDEX('التقسيم Layout'!$J$4:$J$9,MATCH(C365,'التقسيم Layout'!$B$4:$B$9,0)),"")</f>
        <v>195</v>
      </c>
    </row>
    <row r="366" spans="1:9" ht="17.25" thickTop="1" thickBot="1" x14ac:dyDescent="0.25">
      <c r="A366" s="23">
        <v>362</v>
      </c>
      <c r="B366" s="26" t="s">
        <v>414</v>
      </c>
      <c r="C366" s="31" t="s">
        <v>26</v>
      </c>
      <c r="D366" s="23" t="s">
        <v>17</v>
      </c>
      <c r="E366" s="23" t="s">
        <v>61</v>
      </c>
      <c r="F366" s="23">
        <v>8</v>
      </c>
      <c r="G366" s="23" t="s">
        <v>25</v>
      </c>
      <c r="H366" s="23" t="s">
        <v>23</v>
      </c>
      <c r="I366" s="23">
        <f>IFERROR(INDEX('التقسيم Layout'!$J$4:$J$9,MATCH(C366,'التقسيم Layout'!$B$4:$B$9,0)),"")</f>
        <v>195</v>
      </c>
    </row>
    <row r="367" spans="1:9" ht="17.25" thickTop="1" thickBot="1" x14ac:dyDescent="0.25">
      <c r="A367" s="23">
        <v>363</v>
      </c>
      <c r="B367" s="26" t="s">
        <v>415</v>
      </c>
      <c r="C367" s="31" t="s">
        <v>26</v>
      </c>
      <c r="D367" s="23" t="s">
        <v>20</v>
      </c>
      <c r="E367" s="23" t="s">
        <v>63</v>
      </c>
      <c r="F367" s="23">
        <v>8</v>
      </c>
      <c r="G367" s="23" t="s">
        <v>25</v>
      </c>
      <c r="H367" s="23" t="s">
        <v>23</v>
      </c>
      <c r="I367" s="23">
        <f>IFERROR(INDEX('التقسيم Layout'!$J$4:$J$9,MATCH(C367,'التقسيم Layout'!$B$4:$B$9,0)),"")</f>
        <v>195</v>
      </c>
    </row>
    <row r="368" spans="1:9" ht="17.25" thickTop="1" thickBot="1" x14ac:dyDescent="0.25">
      <c r="A368" s="23">
        <v>364</v>
      </c>
      <c r="B368" s="26" t="s">
        <v>416</v>
      </c>
      <c r="C368" s="31" t="s">
        <v>26</v>
      </c>
      <c r="D368" s="23" t="s">
        <v>22</v>
      </c>
      <c r="E368" s="23" t="s">
        <v>65</v>
      </c>
      <c r="F368" s="23">
        <v>8</v>
      </c>
      <c r="G368" s="23" t="s">
        <v>25</v>
      </c>
      <c r="H368" s="23" t="s">
        <v>23</v>
      </c>
      <c r="I368" s="23">
        <f>IFERROR(INDEX('التقسيم Layout'!$J$4:$J$9,MATCH(C368,'التقسيم Layout'!$B$4:$B$9,0)),"")</f>
        <v>195</v>
      </c>
    </row>
    <row r="369" spans="1:9" ht="17.25" thickTop="1" thickBot="1" x14ac:dyDescent="0.25">
      <c r="A369" s="23">
        <v>365</v>
      </c>
      <c r="B369" s="26" t="s">
        <v>417</v>
      </c>
      <c r="C369" s="31" t="s">
        <v>26</v>
      </c>
      <c r="D369" s="23" t="s">
        <v>26</v>
      </c>
      <c r="E369" s="23" t="s">
        <v>67</v>
      </c>
      <c r="F369" s="23">
        <v>8</v>
      </c>
      <c r="G369" s="23" t="s">
        <v>25</v>
      </c>
      <c r="H369" s="23" t="s">
        <v>23</v>
      </c>
      <c r="I369" s="23">
        <f>IFERROR(INDEX('التقسيم Layout'!$J$4:$J$9,MATCH(C369,'التقسيم Layout'!$B$4:$B$9,0)),"")</f>
        <v>195</v>
      </c>
    </row>
    <row r="370" spans="1:9" ht="17.25" thickTop="1" thickBot="1" x14ac:dyDescent="0.25">
      <c r="A370" s="23">
        <v>366</v>
      </c>
      <c r="B370" s="26" t="s">
        <v>418</v>
      </c>
      <c r="C370" s="31" t="s">
        <v>26</v>
      </c>
      <c r="D370" s="23" t="s">
        <v>13</v>
      </c>
      <c r="E370" s="23" t="s">
        <v>59</v>
      </c>
      <c r="F370" s="23">
        <v>9</v>
      </c>
      <c r="G370" s="23" t="s">
        <v>25</v>
      </c>
      <c r="H370" s="23" t="s">
        <v>23</v>
      </c>
      <c r="I370" s="23">
        <f>IFERROR(INDEX('التقسيم Layout'!$J$4:$J$9,MATCH(C370,'التقسيم Layout'!$B$4:$B$9,0)),"")</f>
        <v>195</v>
      </c>
    </row>
    <row r="371" spans="1:9" ht="17.25" thickTop="1" thickBot="1" x14ac:dyDescent="0.25">
      <c r="A371" s="23">
        <v>367</v>
      </c>
      <c r="B371" s="26" t="s">
        <v>419</v>
      </c>
      <c r="C371" s="31" t="s">
        <v>26</v>
      </c>
      <c r="D371" s="23" t="s">
        <v>17</v>
      </c>
      <c r="E371" s="23" t="s">
        <v>61</v>
      </c>
      <c r="F371" s="23">
        <v>9</v>
      </c>
      <c r="G371" s="23" t="s">
        <v>25</v>
      </c>
      <c r="H371" s="23" t="s">
        <v>23</v>
      </c>
      <c r="I371" s="23">
        <f>IFERROR(INDEX('التقسيم Layout'!$J$4:$J$9,MATCH(C371,'التقسيم Layout'!$B$4:$B$9,0)),"")</f>
        <v>195</v>
      </c>
    </row>
    <row r="372" spans="1:9" ht="17.25" thickTop="1" thickBot="1" x14ac:dyDescent="0.25">
      <c r="A372" s="23">
        <v>368</v>
      </c>
      <c r="B372" s="26" t="s">
        <v>420</v>
      </c>
      <c r="C372" s="31" t="s">
        <v>26</v>
      </c>
      <c r="D372" s="23" t="s">
        <v>20</v>
      </c>
      <c r="E372" s="23" t="s">
        <v>63</v>
      </c>
      <c r="F372" s="23">
        <v>9</v>
      </c>
      <c r="G372" s="23" t="s">
        <v>25</v>
      </c>
      <c r="H372" s="23" t="s">
        <v>23</v>
      </c>
      <c r="I372" s="23">
        <f>IFERROR(INDEX('التقسيم Layout'!$J$4:$J$9,MATCH(C372,'التقسيم Layout'!$B$4:$B$9,0)),"")</f>
        <v>195</v>
      </c>
    </row>
    <row r="373" spans="1:9" ht="17.25" thickTop="1" thickBot="1" x14ac:dyDescent="0.25">
      <c r="A373" s="23">
        <v>369</v>
      </c>
      <c r="B373" s="26" t="s">
        <v>421</v>
      </c>
      <c r="C373" s="31" t="s">
        <v>26</v>
      </c>
      <c r="D373" s="23" t="s">
        <v>22</v>
      </c>
      <c r="E373" s="23" t="s">
        <v>65</v>
      </c>
      <c r="F373" s="23">
        <v>9</v>
      </c>
      <c r="G373" s="23" t="s">
        <v>25</v>
      </c>
      <c r="H373" s="23" t="s">
        <v>23</v>
      </c>
      <c r="I373" s="23">
        <f>IFERROR(INDEX('التقسيم Layout'!$J$4:$J$9,MATCH(C373,'التقسيم Layout'!$B$4:$B$9,0)),"")</f>
        <v>195</v>
      </c>
    </row>
    <row r="374" spans="1:9" ht="17.25" thickTop="1" thickBot="1" x14ac:dyDescent="0.25">
      <c r="A374" s="23">
        <v>370</v>
      </c>
      <c r="B374" s="26" t="s">
        <v>422</v>
      </c>
      <c r="C374" s="31" t="s">
        <v>26</v>
      </c>
      <c r="D374" s="23" t="s">
        <v>26</v>
      </c>
      <c r="E374" s="23" t="s">
        <v>67</v>
      </c>
      <c r="F374" s="23">
        <v>9</v>
      </c>
      <c r="G374" s="23" t="s">
        <v>25</v>
      </c>
      <c r="H374" s="23" t="s">
        <v>23</v>
      </c>
      <c r="I374" s="23">
        <f>IFERROR(INDEX('التقسيم Layout'!$J$4:$J$9,MATCH(C374,'التقسيم Layout'!$B$4:$B$9,0)),"")</f>
        <v>195</v>
      </c>
    </row>
    <row r="375" spans="1:9" ht="17.25" thickTop="1" thickBot="1" x14ac:dyDescent="0.25">
      <c r="A375" s="23">
        <v>371</v>
      </c>
      <c r="B375" s="26" t="s">
        <v>423</v>
      </c>
      <c r="C375" s="31" t="s">
        <v>26</v>
      </c>
      <c r="D375" s="23" t="s">
        <v>13</v>
      </c>
      <c r="E375" s="23" t="s">
        <v>59</v>
      </c>
      <c r="F375" s="23">
        <v>10</v>
      </c>
      <c r="G375" s="23" t="s">
        <v>25</v>
      </c>
      <c r="H375" s="23" t="s">
        <v>23</v>
      </c>
      <c r="I375" s="23">
        <f>IFERROR(INDEX('التقسيم Layout'!$J$4:$J$9,MATCH(C375,'التقسيم Layout'!$B$4:$B$9,0)),"")</f>
        <v>195</v>
      </c>
    </row>
    <row r="376" spans="1:9" ht="17.25" thickTop="1" thickBot="1" x14ac:dyDescent="0.25">
      <c r="A376" s="23">
        <v>372</v>
      </c>
      <c r="B376" s="26" t="s">
        <v>424</v>
      </c>
      <c r="C376" s="31" t="s">
        <v>26</v>
      </c>
      <c r="D376" s="23" t="s">
        <v>17</v>
      </c>
      <c r="E376" s="23" t="s">
        <v>61</v>
      </c>
      <c r="F376" s="23">
        <v>10</v>
      </c>
      <c r="G376" s="23" t="s">
        <v>25</v>
      </c>
      <c r="H376" s="23" t="s">
        <v>23</v>
      </c>
      <c r="I376" s="23">
        <f>IFERROR(INDEX('التقسيم Layout'!$J$4:$J$9,MATCH(C376,'التقسيم Layout'!$B$4:$B$9,0)),"")</f>
        <v>195</v>
      </c>
    </row>
    <row r="377" spans="1:9" ht="17.25" thickTop="1" thickBot="1" x14ac:dyDescent="0.25">
      <c r="A377" s="23">
        <v>373</v>
      </c>
      <c r="B377" s="26" t="s">
        <v>425</v>
      </c>
      <c r="C377" s="31" t="s">
        <v>26</v>
      </c>
      <c r="D377" s="23" t="s">
        <v>20</v>
      </c>
      <c r="E377" s="23" t="s">
        <v>63</v>
      </c>
      <c r="F377" s="23">
        <v>10</v>
      </c>
      <c r="G377" s="23" t="s">
        <v>25</v>
      </c>
      <c r="H377" s="23" t="s">
        <v>23</v>
      </c>
      <c r="I377" s="23">
        <f>IFERROR(INDEX('التقسيم Layout'!$J$4:$J$9,MATCH(C377,'التقسيم Layout'!$B$4:$B$9,0)),"")</f>
        <v>195</v>
      </c>
    </row>
    <row r="378" spans="1:9" ht="17.25" thickTop="1" thickBot="1" x14ac:dyDescent="0.25">
      <c r="A378" s="23">
        <v>374</v>
      </c>
      <c r="B378" s="26" t="s">
        <v>426</v>
      </c>
      <c r="C378" s="31" t="s">
        <v>26</v>
      </c>
      <c r="D378" s="23" t="s">
        <v>22</v>
      </c>
      <c r="E378" s="23" t="s">
        <v>65</v>
      </c>
      <c r="F378" s="23">
        <v>10</v>
      </c>
      <c r="G378" s="23" t="s">
        <v>25</v>
      </c>
      <c r="H378" s="23" t="s">
        <v>23</v>
      </c>
      <c r="I378" s="23">
        <f>IFERROR(INDEX('التقسيم Layout'!$J$4:$J$9,MATCH(C378,'التقسيم Layout'!$B$4:$B$9,0)),"")</f>
        <v>195</v>
      </c>
    </row>
    <row r="379" spans="1:9" ht="17.25" thickTop="1" thickBot="1" x14ac:dyDescent="0.25">
      <c r="A379" s="23">
        <v>375</v>
      </c>
      <c r="B379" s="26" t="s">
        <v>427</v>
      </c>
      <c r="C379" s="31" t="s">
        <v>26</v>
      </c>
      <c r="D379" s="23" t="s">
        <v>26</v>
      </c>
      <c r="E379" s="23" t="s">
        <v>67</v>
      </c>
      <c r="F379" s="23">
        <v>10</v>
      </c>
      <c r="G379" s="23" t="s">
        <v>25</v>
      </c>
      <c r="H379" s="23" t="s">
        <v>23</v>
      </c>
      <c r="I379" s="23">
        <f>IFERROR(INDEX('التقسيم Layout'!$J$4:$J$9,MATCH(C379,'التقسيم Layout'!$B$4:$B$9,0)),"")</f>
        <v>195</v>
      </c>
    </row>
    <row r="380" spans="1:9" ht="17.25" thickTop="1" thickBot="1" x14ac:dyDescent="0.25">
      <c r="A380" s="23">
        <v>376</v>
      </c>
      <c r="B380" s="26" t="s">
        <v>428</v>
      </c>
      <c r="C380" s="31" t="s">
        <v>26</v>
      </c>
      <c r="D380" s="23" t="s">
        <v>13</v>
      </c>
      <c r="E380" s="23" t="s">
        <v>59</v>
      </c>
      <c r="F380" s="23">
        <v>11</v>
      </c>
      <c r="G380" s="23" t="s">
        <v>25</v>
      </c>
      <c r="H380" s="23" t="s">
        <v>23</v>
      </c>
      <c r="I380" s="23">
        <f>IFERROR(INDEX('التقسيم Layout'!$J$4:$J$9,MATCH(C380,'التقسيم Layout'!$B$4:$B$9,0)),"")</f>
        <v>195</v>
      </c>
    </row>
    <row r="381" spans="1:9" ht="17.25" thickTop="1" thickBot="1" x14ac:dyDescent="0.25">
      <c r="A381" s="23">
        <v>377</v>
      </c>
      <c r="B381" s="26" t="s">
        <v>429</v>
      </c>
      <c r="C381" s="31" t="s">
        <v>26</v>
      </c>
      <c r="D381" s="23" t="s">
        <v>17</v>
      </c>
      <c r="E381" s="23" t="s">
        <v>61</v>
      </c>
      <c r="F381" s="23">
        <v>11</v>
      </c>
      <c r="G381" s="23" t="s">
        <v>25</v>
      </c>
      <c r="H381" s="23" t="s">
        <v>23</v>
      </c>
      <c r="I381" s="23">
        <f>IFERROR(INDEX('التقسيم Layout'!$J$4:$J$9,MATCH(C381,'التقسيم Layout'!$B$4:$B$9,0)),"")</f>
        <v>195</v>
      </c>
    </row>
    <row r="382" spans="1:9" ht="17.25" thickTop="1" thickBot="1" x14ac:dyDescent="0.25">
      <c r="A382" s="23">
        <v>378</v>
      </c>
      <c r="B382" s="26" t="s">
        <v>430</v>
      </c>
      <c r="C382" s="31" t="s">
        <v>26</v>
      </c>
      <c r="D382" s="23" t="s">
        <v>20</v>
      </c>
      <c r="E382" s="23" t="s">
        <v>63</v>
      </c>
      <c r="F382" s="23">
        <v>11</v>
      </c>
      <c r="G382" s="23" t="s">
        <v>25</v>
      </c>
      <c r="H382" s="23" t="s">
        <v>23</v>
      </c>
      <c r="I382" s="23">
        <f>IFERROR(INDEX('التقسيم Layout'!$J$4:$J$9,MATCH(C382,'التقسيم Layout'!$B$4:$B$9,0)),"")</f>
        <v>195</v>
      </c>
    </row>
    <row r="383" spans="1:9" ht="17.25" thickTop="1" thickBot="1" x14ac:dyDescent="0.25">
      <c r="A383" s="23">
        <v>379</v>
      </c>
      <c r="B383" s="26" t="s">
        <v>431</v>
      </c>
      <c r="C383" s="31" t="s">
        <v>26</v>
      </c>
      <c r="D383" s="23" t="s">
        <v>22</v>
      </c>
      <c r="E383" s="23" t="s">
        <v>65</v>
      </c>
      <c r="F383" s="23">
        <v>11</v>
      </c>
      <c r="G383" s="23" t="s">
        <v>25</v>
      </c>
      <c r="H383" s="23" t="s">
        <v>23</v>
      </c>
      <c r="I383" s="23">
        <f>IFERROR(INDEX('التقسيم Layout'!$J$4:$J$9,MATCH(C383,'التقسيم Layout'!$B$4:$B$9,0)),"")</f>
        <v>195</v>
      </c>
    </row>
    <row r="384" spans="1:9" ht="17.25" thickTop="1" thickBot="1" x14ac:dyDescent="0.25">
      <c r="A384" s="23">
        <v>380</v>
      </c>
      <c r="B384" s="26" t="s">
        <v>432</v>
      </c>
      <c r="C384" s="31" t="s">
        <v>26</v>
      </c>
      <c r="D384" s="23" t="s">
        <v>26</v>
      </c>
      <c r="E384" s="23" t="s">
        <v>67</v>
      </c>
      <c r="F384" s="23">
        <v>11</v>
      </c>
      <c r="G384" s="23" t="s">
        <v>25</v>
      </c>
      <c r="H384" s="23" t="s">
        <v>23</v>
      </c>
      <c r="I384" s="23">
        <f>IFERROR(INDEX('التقسيم Layout'!$J$4:$J$9,MATCH(C384,'التقسيم Layout'!$B$4:$B$9,0)),"")</f>
        <v>195</v>
      </c>
    </row>
    <row r="385" spans="1:9" ht="17.25" thickTop="1" thickBot="1" x14ac:dyDescent="0.25">
      <c r="A385" s="23">
        <v>381</v>
      </c>
      <c r="B385" s="26" t="s">
        <v>433</v>
      </c>
      <c r="C385" s="31" t="s">
        <v>26</v>
      </c>
      <c r="D385" s="23" t="s">
        <v>13</v>
      </c>
      <c r="E385" s="23" t="s">
        <v>59</v>
      </c>
      <c r="F385" s="23">
        <v>12</v>
      </c>
      <c r="G385" s="23" t="s">
        <v>25</v>
      </c>
      <c r="H385" s="23" t="s">
        <v>23</v>
      </c>
      <c r="I385" s="23">
        <f>IFERROR(INDEX('التقسيم Layout'!$J$4:$J$9,MATCH(C385,'التقسيم Layout'!$B$4:$B$9,0)),"")</f>
        <v>195</v>
      </c>
    </row>
    <row r="386" spans="1:9" ht="17.25" thickTop="1" thickBot="1" x14ac:dyDescent="0.25">
      <c r="A386" s="23">
        <v>382</v>
      </c>
      <c r="B386" s="26" t="s">
        <v>434</v>
      </c>
      <c r="C386" s="31" t="s">
        <v>26</v>
      </c>
      <c r="D386" s="23" t="s">
        <v>17</v>
      </c>
      <c r="E386" s="23" t="s">
        <v>61</v>
      </c>
      <c r="F386" s="23">
        <v>12</v>
      </c>
      <c r="G386" s="23" t="s">
        <v>25</v>
      </c>
      <c r="H386" s="23" t="s">
        <v>23</v>
      </c>
      <c r="I386" s="23">
        <f>IFERROR(INDEX('التقسيم Layout'!$J$4:$J$9,MATCH(C386,'التقسيم Layout'!$B$4:$B$9,0)),"")</f>
        <v>195</v>
      </c>
    </row>
    <row r="387" spans="1:9" ht="17.25" thickTop="1" thickBot="1" x14ac:dyDescent="0.25">
      <c r="A387" s="23">
        <v>383</v>
      </c>
      <c r="B387" s="26" t="s">
        <v>435</v>
      </c>
      <c r="C387" s="31" t="s">
        <v>26</v>
      </c>
      <c r="D387" s="23" t="s">
        <v>20</v>
      </c>
      <c r="E387" s="23" t="s">
        <v>63</v>
      </c>
      <c r="F387" s="23">
        <v>12</v>
      </c>
      <c r="G387" s="23" t="s">
        <v>25</v>
      </c>
      <c r="H387" s="23" t="s">
        <v>23</v>
      </c>
      <c r="I387" s="23">
        <f>IFERROR(INDEX('التقسيم Layout'!$J$4:$J$9,MATCH(C387,'التقسيم Layout'!$B$4:$B$9,0)),"")</f>
        <v>195</v>
      </c>
    </row>
    <row r="388" spans="1:9" ht="17.25" thickTop="1" thickBot="1" x14ac:dyDescent="0.25">
      <c r="A388" s="23">
        <v>384</v>
      </c>
      <c r="B388" s="26" t="s">
        <v>436</v>
      </c>
      <c r="C388" s="31" t="s">
        <v>26</v>
      </c>
      <c r="D388" s="23" t="s">
        <v>22</v>
      </c>
      <c r="E388" s="23" t="s">
        <v>65</v>
      </c>
      <c r="F388" s="23">
        <v>12</v>
      </c>
      <c r="G388" s="23" t="s">
        <v>25</v>
      </c>
      <c r="H388" s="23" t="s">
        <v>23</v>
      </c>
      <c r="I388" s="23">
        <f>IFERROR(INDEX('التقسيم Layout'!$J$4:$J$9,MATCH(C388,'التقسيم Layout'!$B$4:$B$9,0)),"")</f>
        <v>195</v>
      </c>
    </row>
    <row r="389" spans="1:9" ht="17.25" thickTop="1" thickBot="1" x14ac:dyDescent="0.25">
      <c r="A389" s="23">
        <v>385</v>
      </c>
      <c r="B389" s="26" t="s">
        <v>437</v>
      </c>
      <c r="C389" s="31" t="s">
        <v>26</v>
      </c>
      <c r="D389" s="23" t="s">
        <v>26</v>
      </c>
      <c r="E389" s="23" t="s">
        <v>67</v>
      </c>
      <c r="F389" s="23">
        <v>12</v>
      </c>
      <c r="G389" s="23" t="s">
        <v>25</v>
      </c>
      <c r="H389" s="23" t="s">
        <v>23</v>
      </c>
      <c r="I389" s="23">
        <f>IFERROR(INDEX('التقسيم Layout'!$J$4:$J$9,MATCH(C389,'التقسيم Layout'!$B$4:$B$9,0)),"")</f>
        <v>195</v>
      </c>
    </row>
    <row r="390" spans="1:9" ht="17.25" thickTop="1" thickBot="1" x14ac:dyDescent="0.25">
      <c r="A390" s="23">
        <v>386</v>
      </c>
      <c r="B390" s="26" t="s">
        <v>438</v>
      </c>
      <c r="C390" s="31" t="s">
        <v>26</v>
      </c>
      <c r="D390" s="23" t="s">
        <v>13</v>
      </c>
      <c r="E390" s="23" t="s">
        <v>59</v>
      </c>
      <c r="F390" s="23">
        <v>13</v>
      </c>
      <c r="G390" s="23" t="s">
        <v>25</v>
      </c>
      <c r="H390" s="23" t="s">
        <v>23</v>
      </c>
      <c r="I390" s="23">
        <f>IFERROR(INDEX('التقسيم Layout'!$J$4:$J$9,MATCH(C390,'التقسيم Layout'!$B$4:$B$9,0)),"")</f>
        <v>195</v>
      </c>
    </row>
    <row r="391" spans="1:9" ht="17.25" thickTop="1" thickBot="1" x14ac:dyDescent="0.25">
      <c r="A391" s="23">
        <v>387</v>
      </c>
      <c r="B391" s="26" t="s">
        <v>439</v>
      </c>
      <c r="C391" s="31" t="s">
        <v>26</v>
      </c>
      <c r="D391" s="23" t="s">
        <v>17</v>
      </c>
      <c r="E391" s="23" t="s">
        <v>61</v>
      </c>
      <c r="F391" s="23">
        <v>13</v>
      </c>
      <c r="G391" s="23" t="s">
        <v>25</v>
      </c>
      <c r="H391" s="23" t="s">
        <v>23</v>
      </c>
      <c r="I391" s="23">
        <f>IFERROR(INDEX('التقسيم Layout'!$J$4:$J$9,MATCH(C391,'التقسيم Layout'!$B$4:$B$9,0)),"")</f>
        <v>195</v>
      </c>
    </row>
    <row r="392" spans="1:9" ht="17.25" thickTop="1" thickBot="1" x14ac:dyDescent="0.25">
      <c r="A392" s="23">
        <v>388</v>
      </c>
      <c r="B392" s="26" t="s">
        <v>440</v>
      </c>
      <c r="C392" s="31" t="s">
        <v>26</v>
      </c>
      <c r="D392" s="23" t="s">
        <v>20</v>
      </c>
      <c r="E392" s="23" t="s">
        <v>63</v>
      </c>
      <c r="F392" s="23">
        <v>13</v>
      </c>
      <c r="G392" s="23" t="s">
        <v>25</v>
      </c>
      <c r="H392" s="23" t="s">
        <v>23</v>
      </c>
      <c r="I392" s="23">
        <f>IFERROR(INDEX('التقسيم Layout'!$J$4:$J$9,MATCH(C392,'التقسيم Layout'!$B$4:$B$9,0)),"")</f>
        <v>195</v>
      </c>
    </row>
    <row r="393" spans="1:9" ht="17.25" thickTop="1" thickBot="1" x14ac:dyDescent="0.25">
      <c r="A393" s="23">
        <v>389</v>
      </c>
      <c r="B393" s="26" t="s">
        <v>441</v>
      </c>
      <c r="C393" s="31" t="s">
        <v>26</v>
      </c>
      <c r="D393" s="23" t="s">
        <v>22</v>
      </c>
      <c r="E393" s="23" t="s">
        <v>65</v>
      </c>
      <c r="F393" s="23">
        <v>13</v>
      </c>
      <c r="G393" s="23" t="s">
        <v>25</v>
      </c>
      <c r="H393" s="23" t="s">
        <v>23</v>
      </c>
      <c r="I393" s="23">
        <f>IFERROR(INDEX('التقسيم Layout'!$J$4:$J$9,MATCH(C393,'التقسيم Layout'!$B$4:$B$9,0)),"")</f>
        <v>195</v>
      </c>
    </row>
    <row r="394" spans="1:9" ht="17.25" thickTop="1" thickBot="1" x14ac:dyDescent="0.25">
      <c r="A394" s="23">
        <v>390</v>
      </c>
      <c r="B394" s="26" t="s">
        <v>442</v>
      </c>
      <c r="C394" s="31" t="s">
        <v>26</v>
      </c>
      <c r="D394" s="23" t="s">
        <v>26</v>
      </c>
      <c r="E394" s="23" t="s">
        <v>67</v>
      </c>
      <c r="F394" s="23">
        <v>13</v>
      </c>
      <c r="G394" s="23" t="s">
        <v>25</v>
      </c>
      <c r="H394" s="23" t="s">
        <v>23</v>
      </c>
      <c r="I394" s="23">
        <f>IFERROR(INDEX('التقسيم Layout'!$J$4:$J$9,MATCH(C394,'التقسيم Layout'!$B$4:$B$9,0)),"")</f>
        <v>195</v>
      </c>
    </row>
    <row r="395" spans="1:9" ht="17.25" thickTop="1" thickBot="1" x14ac:dyDescent="0.25">
      <c r="A395" s="23">
        <v>391</v>
      </c>
      <c r="B395" s="26" t="s">
        <v>443</v>
      </c>
      <c r="C395" s="31" t="s">
        <v>26</v>
      </c>
      <c r="D395" s="23" t="s">
        <v>13</v>
      </c>
      <c r="E395" s="23" t="s">
        <v>59</v>
      </c>
      <c r="F395" s="23">
        <v>14</v>
      </c>
      <c r="G395" s="23" t="s">
        <v>25</v>
      </c>
      <c r="H395" s="23" t="s">
        <v>23</v>
      </c>
      <c r="I395" s="23">
        <f>IFERROR(INDEX('التقسيم Layout'!$J$4:$J$9,MATCH(C395,'التقسيم Layout'!$B$4:$B$9,0)),"")</f>
        <v>195</v>
      </c>
    </row>
    <row r="396" spans="1:9" ht="17.25" thickTop="1" thickBot="1" x14ac:dyDescent="0.25">
      <c r="A396" s="23">
        <v>392</v>
      </c>
      <c r="B396" s="26" t="s">
        <v>444</v>
      </c>
      <c r="C396" s="31" t="s">
        <v>26</v>
      </c>
      <c r="D396" s="23" t="s">
        <v>17</v>
      </c>
      <c r="E396" s="23" t="s">
        <v>61</v>
      </c>
      <c r="F396" s="23">
        <v>14</v>
      </c>
      <c r="G396" s="23" t="s">
        <v>25</v>
      </c>
      <c r="H396" s="23" t="s">
        <v>23</v>
      </c>
      <c r="I396" s="23">
        <f>IFERROR(INDEX('التقسيم Layout'!$J$4:$J$9,MATCH(C396,'التقسيم Layout'!$B$4:$B$9,0)),"")</f>
        <v>195</v>
      </c>
    </row>
    <row r="397" spans="1:9" ht="17.25" thickTop="1" thickBot="1" x14ac:dyDescent="0.25">
      <c r="A397" s="23">
        <v>393</v>
      </c>
      <c r="B397" s="26" t="s">
        <v>445</v>
      </c>
      <c r="C397" s="31" t="s">
        <v>26</v>
      </c>
      <c r="D397" s="23" t="s">
        <v>20</v>
      </c>
      <c r="E397" s="23" t="s">
        <v>63</v>
      </c>
      <c r="F397" s="23">
        <v>14</v>
      </c>
      <c r="G397" s="23" t="s">
        <v>25</v>
      </c>
      <c r="H397" s="23" t="s">
        <v>23</v>
      </c>
      <c r="I397" s="23">
        <f>IFERROR(INDEX('التقسيم Layout'!$J$4:$J$9,MATCH(C397,'التقسيم Layout'!$B$4:$B$9,0)),"")</f>
        <v>195</v>
      </c>
    </row>
    <row r="398" spans="1:9" ht="17.25" thickTop="1" thickBot="1" x14ac:dyDescent="0.25">
      <c r="A398" s="23">
        <v>394</v>
      </c>
      <c r="B398" s="26" t="s">
        <v>446</v>
      </c>
      <c r="C398" s="31" t="s">
        <v>26</v>
      </c>
      <c r="D398" s="23" t="s">
        <v>22</v>
      </c>
      <c r="E398" s="23" t="s">
        <v>65</v>
      </c>
      <c r="F398" s="23">
        <v>14</v>
      </c>
      <c r="G398" s="23" t="s">
        <v>25</v>
      </c>
      <c r="H398" s="23" t="s">
        <v>23</v>
      </c>
      <c r="I398" s="23">
        <f>IFERROR(INDEX('التقسيم Layout'!$J$4:$J$9,MATCH(C398,'التقسيم Layout'!$B$4:$B$9,0)),"")</f>
        <v>195</v>
      </c>
    </row>
    <row r="399" spans="1:9" ht="17.25" thickTop="1" thickBot="1" x14ac:dyDescent="0.25">
      <c r="A399" s="23">
        <v>395</v>
      </c>
      <c r="B399" s="26" t="s">
        <v>447</v>
      </c>
      <c r="C399" s="31" t="s">
        <v>26</v>
      </c>
      <c r="D399" s="23" t="s">
        <v>26</v>
      </c>
      <c r="E399" s="23" t="s">
        <v>67</v>
      </c>
      <c r="F399" s="23">
        <v>14</v>
      </c>
      <c r="G399" s="23" t="s">
        <v>25</v>
      </c>
      <c r="H399" s="23" t="s">
        <v>23</v>
      </c>
      <c r="I399" s="23">
        <f>IFERROR(INDEX('التقسيم Layout'!$J$4:$J$9,MATCH(C399,'التقسيم Layout'!$B$4:$B$9,0)),"")</f>
        <v>195</v>
      </c>
    </row>
    <row r="400" spans="1:9" ht="17.25" thickTop="1" thickBot="1" x14ac:dyDescent="0.25">
      <c r="A400" s="23">
        <v>396</v>
      </c>
      <c r="B400" s="26" t="s">
        <v>448</v>
      </c>
      <c r="C400" s="31" t="s">
        <v>26</v>
      </c>
      <c r="D400" s="23" t="s">
        <v>13</v>
      </c>
      <c r="E400" s="23" t="s">
        <v>59</v>
      </c>
      <c r="F400" s="23">
        <v>15</v>
      </c>
      <c r="G400" s="23" t="s">
        <v>25</v>
      </c>
      <c r="H400" s="23" t="s">
        <v>23</v>
      </c>
      <c r="I400" s="23">
        <f>IFERROR(INDEX('التقسيم Layout'!$J$4:$J$9,MATCH(C400,'التقسيم Layout'!$B$4:$B$9,0)),"")</f>
        <v>195</v>
      </c>
    </row>
    <row r="401" spans="1:9" ht="17.25" thickTop="1" thickBot="1" x14ac:dyDescent="0.25">
      <c r="A401" s="23">
        <v>397</v>
      </c>
      <c r="B401" s="26" t="s">
        <v>449</v>
      </c>
      <c r="C401" s="31" t="s">
        <v>26</v>
      </c>
      <c r="D401" s="23" t="s">
        <v>17</v>
      </c>
      <c r="E401" s="23" t="s">
        <v>61</v>
      </c>
      <c r="F401" s="23">
        <v>15</v>
      </c>
      <c r="G401" s="23" t="s">
        <v>25</v>
      </c>
      <c r="H401" s="23" t="s">
        <v>23</v>
      </c>
      <c r="I401" s="23">
        <f>IFERROR(INDEX('التقسيم Layout'!$J$4:$J$9,MATCH(C401,'التقسيم Layout'!$B$4:$B$9,0)),"")</f>
        <v>195</v>
      </c>
    </row>
    <row r="402" spans="1:9" ht="17.25" thickTop="1" thickBot="1" x14ac:dyDescent="0.25">
      <c r="A402" s="23">
        <v>398</v>
      </c>
      <c r="B402" s="26" t="s">
        <v>450</v>
      </c>
      <c r="C402" s="31" t="s">
        <v>26</v>
      </c>
      <c r="D402" s="23" t="s">
        <v>20</v>
      </c>
      <c r="E402" s="23" t="s">
        <v>63</v>
      </c>
      <c r="F402" s="23">
        <v>15</v>
      </c>
      <c r="G402" s="23" t="s">
        <v>25</v>
      </c>
      <c r="H402" s="23" t="s">
        <v>23</v>
      </c>
      <c r="I402" s="23">
        <f>IFERROR(INDEX('التقسيم Layout'!$J$4:$J$9,MATCH(C402,'التقسيم Layout'!$B$4:$B$9,0)),"")</f>
        <v>195</v>
      </c>
    </row>
    <row r="403" spans="1:9" ht="17.25" thickTop="1" thickBot="1" x14ac:dyDescent="0.25">
      <c r="A403" s="23">
        <v>399</v>
      </c>
      <c r="B403" s="26" t="s">
        <v>451</v>
      </c>
      <c r="C403" s="31" t="s">
        <v>26</v>
      </c>
      <c r="D403" s="23" t="s">
        <v>22</v>
      </c>
      <c r="E403" s="23" t="s">
        <v>65</v>
      </c>
      <c r="F403" s="23">
        <v>15</v>
      </c>
      <c r="G403" s="23" t="s">
        <v>25</v>
      </c>
      <c r="H403" s="23" t="s">
        <v>23</v>
      </c>
      <c r="I403" s="23">
        <f>IFERROR(INDEX('التقسيم Layout'!$J$4:$J$9,MATCH(C403,'التقسيم Layout'!$B$4:$B$9,0)),"")</f>
        <v>195</v>
      </c>
    </row>
    <row r="404" spans="1:9" ht="17.25" thickTop="1" thickBot="1" x14ac:dyDescent="0.25">
      <c r="A404" s="23">
        <v>400</v>
      </c>
      <c r="B404" s="26" t="s">
        <v>452</v>
      </c>
      <c r="C404" s="31" t="s">
        <v>26</v>
      </c>
      <c r="D404" s="23" t="s">
        <v>26</v>
      </c>
      <c r="E404" s="23" t="s">
        <v>67</v>
      </c>
      <c r="F404" s="23">
        <v>15</v>
      </c>
      <c r="G404" s="23" t="s">
        <v>25</v>
      </c>
      <c r="H404" s="23" t="s">
        <v>23</v>
      </c>
      <c r="I404" s="23">
        <f>IFERROR(INDEX('التقسيم Layout'!$J$4:$J$9,MATCH(C404,'التقسيم Layout'!$B$4:$B$9,0)),"")</f>
        <v>195</v>
      </c>
    </row>
    <row r="405" spans="1:9" ht="17.25" thickTop="1" thickBot="1" x14ac:dyDescent="0.25">
      <c r="A405" s="23">
        <v>401</v>
      </c>
      <c r="B405" s="26" t="s">
        <v>453</v>
      </c>
      <c r="C405" s="31" t="s">
        <v>26</v>
      </c>
      <c r="D405" s="23" t="s">
        <v>13</v>
      </c>
      <c r="E405" s="23" t="s">
        <v>59</v>
      </c>
      <c r="F405" s="23">
        <v>16</v>
      </c>
      <c r="G405" s="23" t="s">
        <v>25</v>
      </c>
      <c r="H405" s="23" t="s">
        <v>23</v>
      </c>
      <c r="I405" s="23">
        <f>IFERROR(INDEX('التقسيم Layout'!$J$4:$J$9,MATCH(C405,'التقسيم Layout'!$B$4:$B$9,0)),"")</f>
        <v>195</v>
      </c>
    </row>
    <row r="406" spans="1:9" ht="17.25" thickTop="1" thickBot="1" x14ac:dyDescent="0.25">
      <c r="A406" s="23">
        <v>402</v>
      </c>
      <c r="B406" s="26" t="s">
        <v>454</v>
      </c>
      <c r="C406" s="31" t="s">
        <v>26</v>
      </c>
      <c r="D406" s="23" t="s">
        <v>17</v>
      </c>
      <c r="E406" s="23" t="s">
        <v>61</v>
      </c>
      <c r="F406" s="23">
        <v>16</v>
      </c>
      <c r="G406" s="23" t="s">
        <v>25</v>
      </c>
      <c r="H406" s="23" t="s">
        <v>23</v>
      </c>
      <c r="I406" s="23">
        <f>IFERROR(INDEX('التقسيم Layout'!$J$4:$J$9,MATCH(C406,'التقسيم Layout'!$B$4:$B$9,0)),"")</f>
        <v>195</v>
      </c>
    </row>
    <row r="407" spans="1:9" ht="17.25" thickTop="1" thickBot="1" x14ac:dyDescent="0.25">
      <c r="A407" s="23">
        <v>403</v>
      </c>
      <c r="B407" s="26" t="s">
        <v>455</v>
      </c>
      <c r="C407" s="31" t="s">
        <v>26</v>
      </c>
      <c r="D407" s="23" t="s">
        <v>20</v>
      </c>
      <c r="E407" s="23" t="s">
        <v>63</v>
      </c>
      <c r="F407" s="23">
        <v>16</v>
      </c>
      <c r="G407" s="23" t="s">
        <v>25</v>
      </c>
      <c r="H407" s="23" t="s">
        <v>23</v>
      </c>
      <c r="I407" s="23">
        <f>IFERROR(INDEX('التقسيم Layout'!$J$4:$J$9,MATCH(C407,'التقسيم Layout'!$B$4:$B$9,0)),"")</f>
        <v>195</v>
      </c>
    </row>
    <row r="408" spans="1:9" ht="17.25" thickTop="1" thickBot="1" x14ac:dyDescent="0.25">
      <c r="A408" s="23">
        <v>404</v>
      </c>
      <c r="B408" s="26" t="s">
        <v>456</v>
      </c>
      <c r="C408" s="31" t="s">
        <v>26</v>
      </c>
      <c r="D408" s="23" t="s">
        <v>22</v>
      </c>
      <c r="E408" s="23" t="s">
        <v>65</v>
      </c>
      <c r="F408" s="23">
        <v>16</v>
      </c>
      <c r="G408" s="23" t="s">
        <v>25</v>
      </c>
      <c r="H408" s="23" t="s">
        <v>23</v>
      </c>
      <c r="I408" s="23">
        <f>IFERROR(INDEX('التقسيم Layout'!$J$4:$J$9,MATCH(C408,'التقسيم Layout'!$B$4:$B$9,0)),"")</f>
        <v>195</v>
      </c>
    </row>
    <row r="409" spans="1:9" ht="17.25" thickTop="1" thickBot="1" x14ac:dyDescent="0.25">
      <c r="A409" s="23">
        <v>405</v>
      </c>
      <c r="B409" s="26" t="s">
        <v>457</v>
      </c>
      <c r="C409" s="31" t="s">
        <v>26</v>
      </c>
      <c r="D409" s="23" t="s">
        <v>26</v>
      </c>
      <c r="E409" s="23" t="s">
        <v>67</v>
      </c>
      <c r="F409" s="23">
        <v>16</v>
      </c>
      <c r="G409" s="23" t="s">
        <v>25</v>
      </c>
      <c r="H409" s="23" t="s">
        <v>23</v>
      </c>
      <c r="I409" s="23">
        <f>IFERROR(INDEX('التقسيم Layout'!$J$4:$J$9,MATCH(C409,'التقسيم Layout'!$B$4:$B$9,0)),"")</f>
        <v>195</v>
      </c>
    </row>
    <row r="410" spans="1:9" ht="17.25" thickTop="1" thickBot="1" x14ac:dyDescent="0.25">
      <c r="A410" s="23">
        <v>406</v>
      </c>
      <c r="B410" s="26" t="s">
        <v>458</v>
      </c>
      <c r="C410" s="31" t="s">
        <v>26</v>
      </c>
      <c r="D410" s="23" t="s">
        <v>13</v>
      </c>
      <c r="E410" s="23" t="s">
        <v>59</v>
      </c>
      <c r="F410" s="23">
        <v>17</v>
      </c>
      <c r="G410" s="23" t="s">
        <v>25</v>
      </c>
      <c r="H410" s="23" t="s">
        <v>23</v>
      </c>
      <c r="I410" s="23">
        <f>IFERROR(INDEX('التقسيم Layout'!$J$4:$J$9,MATCH(C410,'التقسيم Layout'!$B$4:$B$9,0)),"")</f>
        <v>195</v>
      </c>
    </row>
    <row r="411" spans="1:9" ht="17.25" thickTop="1" thickBot="1" x14ac:dyDescent="0.25">
      <c r="A411" s="23">
        <v>407</v>
      </c>
      <c r="B411" s="26" t="s">
        <v>459</v>
      </c>
      <c r="C411" s="31" t="s">
        <v>26</v>
      </c>
      <c r="D411" s="23" t="s">
        <v>17</v>
      </c>
      <c r="E411" s="23" t="s">
        <v>61</v>
      </c>
      <c r="F411" s="23">
        <v>17</v>
      </c>
      <c r="G411" s="23" t="s">
        <v>25</v>
      </c>
      <c r="H411" s="23" t="s">
        <v>23</v>
      </c>
      <c r="I411" s="23">
        <f>IFERROR(INDEX('التقسيم Layout'!$J$4:$J$9,MATCH(C411,'التقسيم Layout'!$B$4:$B$9,0)),"")</f>
        <v>195</v>
      </c>
    </row>
    <row r="412" spans="1:9" ht="17.25" thickTop="1" thickBot="1" x14ac:dyDescent="0.25">
      <c r="A412" s="23">
        <v>408</v>
      </c>
      <c r="B412" s="26" t="s">
        <v>460</v>
      </c>
      <c r="C412" s="31" t="s">
        <v>26</v>
      </c>
      <c r="D412" s="23" t="s">
        <v>20</v>
      </c>
      <c r="E412" s="23" t="s">
        <v>63</v>
      </c>
      <c r="F412" s="23">
        <v>17</v>
      </c>
      <c r="G412" s="23" t="s">
        <v>25</v>
      </c>
      <c r="H412" s="23" t="s">
        <v>23</v>
      </c>
      <c r="I412" s="23">
        <f>IFERROR(INDEX('التقسيم Layout'!$J$4:$J$9,MATCH(C412,'التقسيم Layout'!$B$4:$B$9,0)),"")</f>
        <v>195</v>
      </c>
    </row>
    <row r="413" spans="1:9" ht="17.25" thickTop="1" thickBot="1" x14ac:dyDescent="0.25">
      <c r="A413" s="23">
        <v>409</v>
      </c>
      <c r="B413" s="26" t="s">
        <v>461</v>
      </c>
      <c r="C413" s="31" t="s">
        <v>26</v>
      </c>
      <c r="D413" s="23" t="s">
        <v>22</v>
      </c>
      <c r="E413" s="23" t="s">
        <v>65</v>
      </c>
      <c r="F413" s="23">
        <v>17</v>
      </c>
      <c r="G413" s="23" t="s">
        <v>25</v>
      </c>
      <c r="H413" s="23" t="s">
        <v>23</v>
      </c>
      <c r="I413" s="23">
        <f>IFERROR(INDEX('التقسيم Layout'!$J$4:$J$9,MATCH(C413,'التقسيم Layout'!$B$4:$B$9,0)),"")</f>
        <v>195</v>
      </c>
    </row>
    <row r="414" spans="1:9" ht="17.25" thickTop="1" thickBot="1" x14ac:dyDescent="0.25">
      <c r="A414" s="23">
        <v>410</v>
      </c>
      <c r="B414" s="26" t="s">
        <v>462</v>
      </c>
      <c r="C414" s="31" t="s">
        <v>26</v>
      </c>
      <c r="D414" s="23" t="s">
        <v>26</v>
      </c>
      <c r="E414" s="23" t="s">
        <v>67</v>
      </c>
      <c r="F414" s="23">
        <v>17</v>
      </c>
      <c r="G414" s="23" t="s">
        <v>25</v>
      </c>
      <c r="H414" s="23" t="s">
        <v>23</v>
      </c>
      <c r="I414" s="23">
        <f>IFERROR(INDEX('التقسيم Layout'!$J$4:$J$9,MATCH(C414,'التقسيم Layout'!$B$4:$B$9,0)),"")</f>
        <v>195</v>
      </c>
    </row>
    <row r="415" spans="1:9" ht="17.25" thickTop="1" thickBot="1" x14ac:dyDescent="0.25">
      <c r="A415" s="23">
        <v>411</v>
      </c>
      <c r="B415" s="26" t="s">
        <v>463</v>
      </c>
      <c r="C415" s="31" t="s">
        <v>26</v>
      </c>
      <c r="D415" s="23" t="s">
        <v>13</v>
      </c>
      <c r="E415" s="23" t="s">
        <v>59</v>
      </c>
      <c r="F415" s="23">
        <v>18</v>
      </c>
      <c r="G415" s="23" t="s">
        <v>25</v>
      </c>
      <c r="H415" s="23" t="s">
        <v>23</v>
      </c>
      <c r="I415" s="23">
        <f>IFERROR(INDEX('التقسيم Layout'!$J$4:$J$9,MATCH(C415,'التقسيم Layout'!$B$4:$B$9,0)),"")</f>
        <v>195</v>
      </c>
    </row>
    <row r="416" spans="1:9" ht="17.25" thickTop="1" thickBot="1" x14ac:dyDescent="0.25">
      <c r="A416" s="23">
        <v>412</v>
      </c>
      <c r="B416" s="26" t="s">
        <v>464</v>
      </c>
      <c r="C416" s="31" t="s">
        <v>26</v>
      </c>
      <c r="D416" s="23" t="s">
        <v>17</v>
      </c>
      <c r="E416" s="23" t="s">
        <v>61</v>
      </c>
      <c r="F416" s="23">
        <v>18</v>
      </c>
      <c r="G416" s="23" t="s">
        <v>25</v>
      </c>
      <c r="H416" s="23" t="s">
        <v>23</v>
      </c>
      <c r="I416" s="23">
        <f>IFERROR(INDEX('التقسيم Layout'!$J$4:$J$9,MATCH(C416,'التقسيم Layout'!$B$4:$B$9,0)),"")</f>
        <v>195</v>
      </c>
    </row>
    <row r="417" spans="1:9" ht="17.25" thickTop="1" thickBot="1" x14ac:dyDescent="0.25">
      <c r="A417" s="23">
        <v>413</v>
      </c>
      <c r="B417" s="26" t="s">
        <v>465</v>
      </c>
      <c r="C417" s="31" t="s">
        <v>26</v>
      </c>
      <c r="D417" s="23" t="s">
        <v>20</v>
      </c>
      <c r="E417" s="23" t="s">
        <v>63</v>
      </c>
      <c r="F417" s="23">
        <v>18</v>
      </c>
      <c r="G417" s="23" t="s">
        <v>25</v>
      </c>
      <c r="H417" s="23" t="s">
        <v>23</v>
      </c>
      <c r="I417" s="23">
        <f>IFERROR(INDEX('التقسيم Layout'!$J$4:$J$9,MATCH(C417,'التقسيم Layout'!$B$4:$B$9,0)),"")</f>
        <v>195</v>
      </c>
    </row>
    <row r="418" spans="1:9" ht="17.25" thickTop="1" thickBot="1" x14ac:dyDescent="0.25">
      <c r="A418" s="23">
        <v>414</v>
      </c>
      <c r="B418" s="26" t="s">
        <v>466</v>
      </c>
      <c r="C418" s="31" t="s">
        <v>26</v>
      </c>
      <c r="D418" s="23" t="s">
        <v>22</v>
      </c>
      <c r="E418" s="23" t="s">
        <v>65</v>
      </c>
      <c r="F418" s="23">
        <v>18</v>
      </c>
      <c r="G418" s="23" t="s">
        <v>25</v>
      </c>
      <c r="H418" s="23" t="s">
        <v>23</v>
      </c>
      <c r="I418" s="23">
        <f>IFERROR(INDEX('التقسيم Layout'!$J$4:$J$9,MATCH(C418,'التقسيم Layout'!$B$4:$B$9,0)),"")</f>
        <v>195</v>
      </c>
    </row>
    <row r="419" spans="1:9" ht="17.25" thickTop="1" thickBot="1" x14ac:dyDescent="0.25">
      <c r="A419" s="23">
        <v>415</v>
      </c>
      <c r="B419" s="26" t="s">
        <v>467</v>
      </c>
      <c r="C419" s="31" t="s">
        <v>26</v>
      </c>
      <c r="D419" s="23" t="s">
        <v>26</v>
      </c>
      <c r="E419" s="23" t="s">
        <v>67</v>
      </c>
      <c r="F419" s="23">
        <v>18</v>
      </c>
      <c r="G419" s="23" t="s">
        <v>25</v>
      </c>
      <c r="H419" s="23" t="s">
        <v>23</v>
      </c>
      <c r="I419" s="23">
        <f>IFERROR(INDEX('التقسيم Layout'!$J$4:$J$9,MATCH(C419,'التقسيم Layout'!$B$4:$B$9,0)),"")</f>
        <v>195</v>
      </c>
    </row>
    <row r="420" spans="1:9" ht="17.25" thickTop="1" thickBot="1" x14ac:dyDescent="0.25">
      <c r="A420" s="23">
        <v>416</v>
      </c>
      <c r="B420" s="26" t="s">
        <v>468</v>
      </c>
      <c r="C420" s="31" t="s">
        <v>26</v>
      </c>
      <c r="D420" s="23" t="s">
        <v>13</v>
      </c>
      <c r="E420" s="23" t="s">
        <v>59</v>
      </c>
      <c r="F420" s="23">
        <v>19</v>
      </c>
      <c r="G420" s="23" t="s">
        <v>25</v>
      </c>
      <c r="H420" s="23" t="s">
        <v>23</v>
      </c>
      <c r="I420" s="23">
        <f>IFERROR(INDEX('التقسيم Layout'!$J$4:$J$9,MATCH(C420,'التقسيم Layout'!$B$4:$B$9,0)),"")</f>
        <v>195</v>
      </c>
    </row>
    <row r="421" spans="1:9" ht="17.25" thickTop="1" thickBot="1" x14ac:dyDescent="0.25">
      <c r="A421" s="23">
        <v>417</v>
      </c>
      <c r="B421" s="26" t="s">
        <v>469</v>
      </c>
      <c r="C421" s="31" t="s">
        <v>26</v>
      </c>
      <c r="D421" s="23" t="s">
        <v>17</v>
      </c>
      <c r="E421" s="23" t="s">
        <v>61</v>
      </c>
      <c r="F421" s="23">
        <v>19</v>
      </c>
      <c r="G421" s="23" t="s">
        <v>25</v>
      </c>
      <c r="H421" s="23" t="s">
        <v>23</v>
      </c>
      <c r="I421" s="23">
        <f>IFERROR(INDEX('التقسيم Layout'!$J$4:$J$9,MATCH(C421,'التقسيم Layout'!$B$4:$B$9,0)),"")</f>
        <v>195</v>
      </c>
    </row>
    <row r="422" spans="1:9" ht="17.25" thickTop="1" thickBot="1" x14ac:dyDescent="0.25">
      <c r="A422" s="23">
        <v>418</v>
      </c>
      <c r="B422" s="26" t="s">
        <v>470</v>
      </c>
      <c r="C422" s="31" t="s">
        <v>26</v>
      </c>
      <c r="D422" s="23" t="s">
        <v>20</v>
      </c>
      <c r="E422" s="23" t="s">
        <v>63</v>
      </c>
      <c r="F422" s="23">
        <v>19</v>
      </c>
      <c r="G422" s="23" t="s">
        <v>25</v>
      </c>
      <c r="H422" s="23" t="s">
        <v>23</v>
      </c>
      <c r="I422" s="23">
        <f>IFERROR(INDEX('التقسيم Layout'!$J$4:$J$9,MATCH(C422,'التقسيم Layout'!$B$4:$B$9,0)),"")</f>
        <v>195</v>
      </c>
    </row>
    <row r="423" spans="1:9" ht="17.25" thickTop="1" thickBot="1" x14ac:dyDescent="0.25">
      <c r="A423" s="23">
        <v>419</v>
      </c>
      <c r="B423" s="26" t="s">
        <v>471</v>
      </c>
      <c r="C423" s="31" t="s">
        <v>26</v>
      </c>
      <c r="D423" s="23" t="s">
        <v>22</v>
      </c>
      <c r="E423" s="23" t="s">
        <v>65</v>
      </c>
      <c r="F423" s="23">
        <v>19</v>
      </c>
      <c r="G423" s="23" t="s">
        <v>25</v>
      </c>
      <c r="H423" s="23" t="s">
        <v>23</v>
      </c>
      <c r="I423" s="23">
        <f>IFERROR(INDEX('التقسيم Layout'!$J$4:$J$9,MATCH(C423,'التقسيم Layout'!$B$4:$B$9,0)),"")</f>
        <v>195</v>
      </c>
    </row>
    <row r="424" spans="1:9" ht="17.25" thickTop="1" thickBot="1" x14ac:dyDescent="0.25">
      <c r="A424" s="23">
        <v>420</v>
      </c>
      <c r="B424" s="26" t="s">
        <v>472</v>
      </c>
      <c r="C424" s="31" t="s">
        <v>26</v>
      </c>
      <c r="D424" s="23" t="s">
        <v>26</v>
      </c>
      <c r="E424" s="23" t="s">
        <v>67</v>
      </c>
      <c r="F424" s="23">
        <v>19</v>
      </c>
      <c r="G424" s="23" t="s">
        <v>25</v>
      </c>
      <c r="H424" s="23" t="s">
        <v>23</v>
      </c>
      <c r="I424" s="23">
        <f>IFERROR(INDEX('التقسيم Layout'!$J$4:$J$9,MATCH(C424,'التقسيم Layout'!$B$4:$B$9,0)),"")</f>
        <v>195</v>
      </c>
    </row>
    <row r="425" spans="1:9" ht="17.25" thickTop="1" thickBot="1" x14ac:dyDescent="0.25">
      <c r="A425" s="23">
        <v>421</v>
      </c>
      <c r="B425" s="26" t="s">
        <v>473</v>
      </c>
      <c r="C425" s="31" t="s">
        <v>26</v>
      </c>
      <c r="D425" s="23" t="s">
        <v>13</v>
      </c>
      <c r="E425" s="23" t="s">
        <v>59</v>
      </c>
      <c r="F425" s="23">
        <v>20</v>
      </c>
      <c r="G425" s="23" t="s">
        <v>25</v>
      </c>
      <c r="H425" s="23" t="s">
        <v>23</v>
      </c>
      <c r="I425" s="23">
        <f>IFERROR(INDEX('التقسيم Layout'!$J$4:$J$9,MATCH(C425,'التقسيم Layout'!$B$4:$B$9,0)),"")</f>
        <v>195</v>
      </c>
    </row>
    <row r="426" spans="1:9" ht="17.25" thickTop="1" thickBot="1" x14ac:dyDescent="0.25">
      <c r="A426" s="23">
        <v>422</v>
      </c>
      <c r="B426" s="26" t="s">
        <v>474</v>
      </c>
      <c r="C426" s="31" t="s">
        <v>26</v>
      </c>
      <c r="D426" s="23" t="s">
        <v>17</v>
      </c>
      <c r="E426" s="23" t="s">
        <v>61</v>
      </c>
      <c r="F426" s="23">
        <v>20</v>
      </c>
      <c r="G426" s="23" t="s">
        <v>25</v>
      </c>
      <c r="H426" s="23" t="s">
        <v>23</v>
      </c>
      <c r="I426" s="23">
        <f>IFERROR(INDEX('التقسيم Layout'!$J$4:$J$9,MATCH(C426,'التقسيم Layout'!$B$4:$B$9,0)),"")</f>
        <v>195</v>
      </c>
    </row>
    <row r="427" spans="1:9" ht="17.25" thickTop="1" thickBot="1" x14ac:dyDescent="0.25">
      <c r="A427" s="23">
        <v>423</v>
      </c>
      <c r="B427" s="26" t="s">
        <v>475</v>
      </c>
      <c r="C427" s="31" t="s">
        <v>26</v>
      </c>
      <c r="D427" s="23" t="s">
        <v>20</v>
      </c>
      <c r="E427" s="23" t="s">
        <v>63</v>
      </c>
      <c r="F427" s="23">
        <v>20</v>
      </c>
      <c r="G427" s="23" t="s">
        <v>25</v>
      </c>
      <c r="H427" s="23" t="s">
        <v>23</v>
      </c>
      <c r="I427" s="23">
        <f>IFERROR(INDEX('التقسيم Layout'!$J$4:$J$9,MATCH(C427,'التقسيم Layout'!$B$4:$B$9,0)),"")</f>
        <v>195</v>
      </c>
    </row>
    <row r="428" spans="1:9" ht="17.25" thickTop="1" thickBot="1" x14ac:dyDescent="0.25">
      <c r="A428" s="23">
        <v>424</v>
      </c>
      <c r="B428" s="26" t="s">
        <v>476</v>
      </c>
      <c r="C428" s="31" t="s">
        <v>26</v>
      </c>
      <c r="D428" s="23" t="s">
        <v>22</v>
      </c>
      <c r="E428" s="23" t="s">
        <v>65</v>
      </c>
      <c r="F428" s="23">
        <v>20</v>
      </c>
      <c r="G428" s="23" t="s">
        <v>25</v>
      </c>
      <c r="H428" s="23" t="s">
        <v>23</v>
      </c>
      <c r="I428" s="23">
        <f>IFERROR(INDEX('التقسيم Layout'!$J$4:$J$9,MATCH(C428,'التقسيم Layout'!$B$4:$B$9,0)),"")</f>
        <v>195</v>
      </c>
    </row>
    <row r="429" spans="1:9" ht="17.25" thickTop="1" thickBot="1" x14ac:dyDescent="0.25">
      <c r="A429" s="23">
        <v>425</v>
      </c>
      <c r="B429" s="26" t="s">
        <v>477</v>
      </c>
      <c r="C429" s="31" t="s">
        <v>26</v>
      </c>
      <c r="D429" s="23" t="s">
        <v>26</v>
      </c>
      <c r="E429" s="23" t="s">
        <v>67</v>
      </c>
      <c r="F429" s="23">
        <v>20</v>
      </c>
      <c r="G429" s="23" t="s">
        <v>25</v>
      </c>
      <c r="H429" s="23" t="s">
        <v>23</v>
      </c>
      <c r="I429" s="23">
        <f>IFERROR(INDEX('التقسيم Layout'!$J$4:$J$9,MATCH(C429,'التقسيم Layout'!$B$4:$B$9,0)),"")</f>
        <v>195</v>
      </c>
    </row>
    <row r="430" spans="1:9" ht="17.25" thickTop="1" thickBot="1" x14ac:dyDescent="0.25">
      <c r="A430" s="23">
        <v>426</v>
      </c>
      <c r="B430" s="26" t="s">
        <v>478</v>
      </c>
      <c r="C430" s="32" t="s">
        <v>28</v>
      </c>
      <c r="D430" s="23" t="s">
        <v>13</v>
      </c>
      <c r="E430" s="23" t="s">
        <v>59</v>
      </c>
      <c r="F430" s="23">
        <v>1</v>
      </c>
      <c r="G430" s="23" t="s">
        <v>25</v>
      </c>
      <c r="H430" s="23" t="s">
        <v>23</v>
      </c>
      <c r="I430" s="23">
        <f>IFERROR(INDEX('التقسيم Layout'!$J$4:$J$9,MATCH(C430,'التقسيم Layout'!$B$4:$B$9,0)),"")</f>
        <v>175</v>
      </c>
    </row>
    <row r="431" spans="1:9" ht="17.25" thickTop="1" thickBot="1" x14ac:dyDescent="0.25">
      <c r="A431" s="23">
        <v>427</v>
      </c>
      <c r="B431" s="26" t="s">
        <v>479</v>
      </c>
      <c r="C431" s="32" t="s">
        <v>28</v>
      </c>
      <c r="D431" s="23" t="s">
        <v>17</v>
      </c>
      <c r="E431" s="23" t="s">
        <v>61</v>
      </c>
      <c r="F431" s="23">
        <v>1</v>
      </c>
      <c r="G431" s="23" t="s">
        <v>25</v>
      </c>
      <c r="H431" s="23" t="s">
        <v>23</v>
      </c>
      <c r="I431" s="23">
        <f>IFERROR(INDEX('التقسيم Layout'!$J$4:$J$9,MATCH(C431,'التقسيم Layout'!$B$4:$B$9,0)),"")</f>
        <v>175</v>
      </c>
    </row>
    <row r="432" spans="1:9" ht="17.25" thickTop="1" thickBot="1" x14ac:dyDescent="0.25">
      <c r="A432" s="23">
        <v>428</v>
      </c>
      <c r="B432" s="26" t="s">
        <v>480</v>
      </c>
      <c r="C432" s="32" t="s">
        <v>28</v>
      </c>
      <c r="D432" s="23" t="s">
        <v>20</v>
      </c>
      <c r="E432" s="23" t="s">
        <v>63</v>
      </c>
      <c r="F432" s="23">
        <v>1</v>
      </c>
      <c r="G432" s="23" t="s">
        <v>25</v>
      </c>
      <c r="H432" s="23" t="s">
        <v>23</v>
      </c>
      <c r="I432" s="23">
        <f>IFERROR(INDEX('التقسيم Layout'!$J$4:$J$9,MATCH(C432,'التقسيم Layout'!$B$4:$B$9,0)),"")</f>
        <v>175</v>
      </c>
    </row>
    <row r="433" spans="1:9" ht="17.25" thickTop="1" thickBot="1" x14ac:dyDescent="0.25">
      <c r="A433" s="23">
        <v>429</v>
      </c>
      <c r="B433" s="26" t="s">
        <v>481</v>
      </c>
      <c r="C433" s="32" t="s">
        <v>28</v>
      </c>
      <c r="D433" s="23" t="s">
        <v>22</v>
      </c>
      <c r="E433" s="23" t="s">
        <v>65</v>
      </c>
      <c r="F433" s="23">
        <v>1</v>
      </c>
      <c r="G433" s="23" t="s">
        <v>25</v>
      </c>
      <c r="H433" s="23" t="s">
        <v>23</v>
      </c>
      <c r="I433" s="23">
        <f>IFERROR(INDEX('التقسيم Layout'!$J$4:$J$9,MATCH(C433,'التقسيم Layout'!$B$4:$B$9,0)),"")</f>
        <v>175</v>
      </c>
    </row>
    <row r="434" spans="1:9" ht="17.25" thickTop="1" thickBot="1" x14ac:dyDescent="0.25">
      <c r="A434" s="23">
        <v>430</v>
      </c>
      <c r="B434" s="26" t="s">
        <v>482</v>
      </c>
      <c r="C434" s="32" t="s">
        <v>28</v>
      </c>
      <c r="D434" s="23" t="s">
        <v>26</v>
      </c>
      <c r="E434" s="23" t="s">
        <v>67</v>
      </c>
      <c r="F434" s="23">
        <v>1</v>
      </c>
      <c r="G434" s="23" t="s">
        <v>25</v>
      </c>
      <c r="H434" s="23" t="s">
        <v>23</v>
      </c>
      <c r="I434" s="23">
        <f>IFERROR(INDEX('التقسيم Layout'!$J$4:$J$9,MATCH(C434,'التقسيم Layout'!$B$4:$B$9,0)),"")</f>
        <v>175</v>
      </c>
    </row>
    <row r="435" spans="1:9" ht="17.25" thickTop="1" thickBot="1" x14ac:dyDescent="0.25">
      <c r="A435" s="23">
        <v>431</v>
      </c>
      <c r="B435" s="26" t="s">
        <v>483</v>
      </c>
      <c r="C435" s="32" t="s">
        <v>28</v>
      </c>
      <c r="D435" s="23" t="s">
        <v>13</v>
      </c>
      <c r="E435" s="23" t="s">
        <v>59</v>
      </c>
      <c r="F435" s="23">
        <v>2</v>
      </c>
      <c r="G435" s="23" t="s">
        <v>25</v>
      </c>
      <c r="H435" s="23" t="s">
        <v>23</v>
      </c>
      <c r="I435" s="23">
        <f>IFERROR(INDEX('التقسيم Layout'!$J$4:$J$9,MATCH(C435,'التقسيم Layout'!$B$4:$B$9,0)),"")</f>
        <v>175</v>
      </c>
    </row>
    <row r="436" spans="1:9" ht="17.25" thickTop="1" thickBot="1" x14ac:dyDescent="0.25">
      <c r="A436" s="23">
        <v>432</v>
      </c>
      <c r="B436" s="26" t="s">
        <v>484</v>
      </c>
      <c r="C436" s="32" t="s">
        <v>28</v>
      </c>
      <c r="D436" s="23" t="s">
        <v>17</v>
      </c>
      <c r="E436" s="23" t="s">
        <v>61</v>
      </c>
      <c r="F436" s="23">
        <v>2</v>
      </c>
      <c r="G436" s="23" t="s">
        <v>25</v>
      </c>
      <c r="H436" s="23" t="s">
        <v>23</v>
      </c>
      <c r="I436" s="23">
        <f>IFERROR(INDEX('التقسيم Layout'!$J$4:$J$9,MATCH(C436,'التقسيم Layout'!$B$4:$B$9,0)),"")</f>
        <v>175</v>
      </c>
    </row>
    <row r="437" spans="1:9" ht="17.25" thickTop="1" thickBot="1" x14ac:dyDescent="0.25">
      <c r="A437" s="23">
        <v>433</v>
      </c>
      <c r="B437" s="26" t="s">
        <v>485</v>
      </c>
      <c r="C437" s="32" t="s">
        <v>28</v>
      </c>
      <c r="D437" s="23" t="s">
        <v>20</v>
      </c>
      <c r="E437" s="23" t="s">
        <v>63</v>
      </c>
      <c r="F437" s="23">
        <v>2</v>
      </c>
      <c r="G437" s="23" t="s">
        <v>25</v>
      </c>
      <c r="H437" s="23" t="s">
        <v>23</v>
      </c>
      <c r="I437" s="23">
        <f>IFERROR(INDEX('التقسيم Layout'!$J$4:$J$9,MATCH(C437,'التقسيم Layout'!$B$4:$B$9,0)),"")</f>
        <v>175</v>
      </c>
    </row>
    <row r="438" spans="1:9" ht="17.25" thickTop="1" thickBot="1" x14ac:dyDescent="0.25">
      <c r="A438" s="23">
        <v>434</v>
      </c>
      <c r="B438" s="26" t="s">
        <v>486</v>
      </c>
      <c r="C438" s="32" t="s">
        <v>28</v>
      </c>
      <c r="D438" s="23" t="s">
        <v>22</v>
      </c>
      <c r="E438" s="23" t="s">
        <v>65</v>
      </c>
      <c r="F438" s="23">
        <v>2</v>
      </c>
      <c r="G438" s="23" t="s">
        <v>25</v>
      </c>
      <c r="H438" s="23" t="s">
        <v>23</v>
      </c>
      <c r="I438" s="23">
        <f>IFERROR(INDEX('التقسيم Layout'!$J$4:$J$9,MATCH(C438,'التقسيم Layout'!$B$4:$B$9,0)),"")</f>
        <v>175</v>
      </c>
    </row>
    <row r="439" spans="1:9" ht="17.25" thickTop="1" thickBot="1" x14ac:dyDescent="0.25">
      <c r="A439" s="23">
        <v>435</v>
      </c>
      <c r="B439" s="26" t="s">
        <v>487</v>
      </c>
      <c r="C439" s="32" t="s">
        <v>28</v>
      </c>
      <c r="D439" s="23" t="s">
        <v>26</v>
      </c>
      <c r="E439" s="23" t="s">
        <v>67</v>
      </c>
      <c r="F439" s="23">
        <v>2</v>
      </c>
      <c r="G439" s="23" t="s">
        <v>25</v>
      </c>
      <c r="H439" s="23" t="s">
        <v>23</v>
      </c>
      <c r="I439" s="23">
        <f>IFERROR(INDEX('التقسيم Layout'!$J$4:$J$9,MATCH(C439,'التقسيم Layout'!$B$4:$B$9,0)),"")</f>
        <v>175</v>
      </c>
    </row>
    <row r="440" spans="1:9" ht="17.25" thickTop="1" thickBot="1" x14ac:dyDescent="0.25">
      <c r="A440" s="23">
        <v>436</v>
      </c>
      <c r="B440" s="26" t="s">
        <v>488</v>
      </c>
      <c r="C440" s="32" t="s">
        <v>28</v>
      </c>
      <c r="D440" s="23" t="s">
        <v>13</v>
      </c>
      <c r="E440" s="23" t="s">
        <v>59</v>
      </c>
      <c r="F440" s="23">
        <v>3</v>
      </c>
      <c r="G440" s="23" t="s">
        <v>25</v>
      </c>
      <c r="H440" s="23" t="s">
        <v>23</v>
      </c>
      <c r="I440" s="23">
        <f>IFERROR(INDEX('التقسيم Layout'!$J$4:$J$9,MATCH(C440,'التقسيم Layout'!$B$4:$B$9,0)),"")</f>
        <v>175</v>
      </c>
    </row>
    <row r="441" spans="1:9" ht="17.25" thickTop="1" thickBot="1" x14ac:dyDescent="0.25">
      <c r="A441" s="23">
        <v>437</v>
      </c>
      <c r="B441" s="26" t="s">
        <v>489</v>
      </c>
      <c r="C441" s="32" t="s">
        <v>28</v>
      </c>
      <c r="D441" s="23" t="s">
        <v>17</v>
      </c>
      <c r="E441" s="23" t="s">
        <v>61</v>
      </c>
      <c r="F441" s="23">
        <v>3</v>
      </c>
      <c r="G441" s="23" t="s">
        <v>25</v>
      </c>
      <c r="H441" s="23" t="s">
        <v>23</v>
      </c>
      <c r="I441" s="23">
        <f>IFERROR(INDEX('التقسيم Layout'!$J$4:$J$9,MATCH(C441,'التقسيم Layout'!$B$4:$B$9,0)),"")</f>
        <v>175</v>
      </c>
    </row>
    <row r="442" spans="1:9" ht="17.25" thickTop="1" thickBot="1" x14ac:dyDescent="0.25">
      <c r="A442" s="23">
        <v>438</v>
      </c>
      <c r="B442" s="26" t="s">
        <v>490</v>
      </c>
      <c r="C442" s="32" t="s">
        <v>28</v>
      </c>
      <c r="D442" s="23" t="s">
        <v>20</v>
      </c>
      <c r="E442" s="23" t="s">
        <v>63</v>
      </c>
      <c r="F442" s="23">
        <v>3</v>
      </c>
      <c r="G442" s="23" t="s">
        <v>25</v>
      </c>
      <c r="H442" s="23" t="s">
        <v>23</v>
      </c>
      <c r="I442" s="23">
        <f>IFERROR(INDEX('التقسيم Layout'!$J$4:$J$9,MATCH(C442,'التقسيم Layout'!$B$4:$B$9,0)),"")</f>
        <v>175</v>
      </c>
    </row>
    <row r="443" spans="1:9" ht="17.25" thickTop="1" thickBot="1" x14ac:dyDescent="0.25">
      <c r="A443" s="23">
        <v>439</v>
      </c>
      <c r="B443" s="26" t="s">
        <v>491</v>
      </c>
      <c r="C443" s="32" t="s">
        <v>28</v>
      </c>
      <c r="D443" s="23" t="s">
        <v>22</v>
      </c>
      <c r="E443" s="23" t="s">
        <v>65</v>
      </c>
      <c r="F443" s="23">
        <v>3</v>
      </c>
      <c r="G443" s="23" t="s">
        <v>25</v>
      </c>
      <c r="H443" s="23" t="s">
        <v>23</v>
      </c>
      <c r="I443" s="23">
        <f>IFERROR(INDEX('التقسيم Layout'!$J$4:$J$9,MATCH(C443,'التقسيم Layout'!$B$4:$B$9,0)),"")</f>
        <v>175</v>
      </c>
    </row>
    <row r="444" spans="1:9" ht="17.25" thickTop="1" thickBot="1" x14ac:dyDescent="0.25">
      <c r="A444" s="23">
        <v>440</v>
      </c>
      <c r="B444" s="26" t="s">
        <v>492</v>
      </c>
      <c r="C444" s="32" t="s">
        <v>28</v>
      </c>
      <c r="D444" s="23" t="s">
        <v>26</v>
      </c>
      <c r="E444" s="23" t="s">
        <v>67</v>
      </c>
      <c r="F444" s="23">
        <v>3</v>
      </c>
      <c r="G444" s="23" t="s">
        <v>25</v>
      </c>
      <c r="H444" s="23" t="s">
        <v>23</v>
      </c>
      <c r="I444" s="23">
        <f>IFERROR(INDEX('التقسيم Layout'!$J$4:$J$9,MATCH(C444,'التقسيم Layout'!$B$4:$B$9,0)),"")</f>
        <v>175</v>
      </c>
    </row>
    <row r="445" spans="1:9" ht="17.25" thickTop="1" thickBot="1" x14ac:dyDescent="0.25">
      <c r="A445" s="23">
        <v>441</v>
      </c>
      <c r="B445" s="26" t="s">
        <v>493</v>
      </c>
      <c r="C445" s="32" t="s">
        <v>28</v>
      </c>
      <c r="D445" s="23" t="s">
        <v>13</v>
      </c>
      <c r="E445" s="23" t="s">
        <v>59</v>
      </c>
      <c r="F445" s="23">
        <v>4</v>
      </c>
      <c r="G445" s="23" t="s">
        <v>25</v>
      </c>
      <c r="H445" s="23" t="s">
        <v>23</v>
      </c>
      <c r="I445" s="23">
        <f>IFERROR(INDEX('التقسيم Layout'!$J$4:$J$9,MATCH(C445,'التقسيم Layout'!$B$4:$B$9,0)),"")</f>
        <v>175</v>
      </c>
    </row>
    <row r="446" spans="1:9" ht="17.25" thickTop="1" thickBot="1" x14ac:dyDescent="0.25">
      <c r="A446" s="23">
        <v>442</v>
      </c>
      <c r="B446" s="26" t="s">
        <v>494</v>
      </c>
      <c r="C446" s="32" t="s">
        <v>28</v>
      </c>
      <c r="D446" s="23" t="s">
        <v>17</v>
      </c>
      <c r="E446" s="23" t="s">
        <v>61</v>
      </c>
      <c r="F446" s="23">
        <v>4</v>
      </c>
      <c r="G446" s="23" t="s">
        <v>25</v>
      </c>
      <c r="H446" s="23" t="s">
        <v>23</v>
      </c>
      <c r="I446" s="23">
        <f>IFERROR(INDEX('التقسيم Layout'!$J$4:$J$9,MATCH(C446,'التقسيم Layout'!$B$4:$B$9,0)),"")</f>
        <v>175</v>
      </c>
    </row>
    <row r="447" spans="1:9" ht="17.25" thickTop="1" thickBot="1" x14ac:dyDescent="0.25">
      <c r="A447" s="23">
        <v>443</v>
      </c>
      <c r="B447" s="26" t="s">
        <v>495</v>
      </c>
      <c r="C447" s="32" t="s">
        <v>28</v>
      </c>
      <c r="D447" s="23" t="s">
        <v>20</v>
      </c>
      <c r="E447" s="23" t="s">
        <v>63</v>
      </c>
      <c r="F447" s="23">
        <v>4</v>
      </c>
      <c r="G447" s="23" t="s">
        <v>25</v>
      </c>
      <c r="H447" s="23" t="s">
        <v>23</v>
      </c>
      <c r="I447" s="23">
        <f>IFERROR(INDEX('التقسيم Layout'!$J$4:$J$9,MATCH(C447,'التقسيم Layout'!$B$4:$B$9,0)),"")</f>
        <v>175</v>
      </c>
    </row>
    <row r="448" spans="1:9" ht="17.25" thickTop="1" thickBot="1" x14ac:dyDescent="0.25">
      <c r="A448" s="23">
        <v>444</v>
      </c>
      <c r="B448" s="26" t="s">
        <v>496</v>
      </c>
      <c r="C448" s="32" t="s">
        <v>28</v>
      </c>
      <c r="D448" s="23" t="s">
        <v>22</v>
      </c>
      <c r="E448" s="23" t="s">
        <v>65</v>
      </c>
      <c r="F448" s="23">
        <v>4</v>
      </c>
      <c r="G448" s="23" t="s">
        <v>25</v>
      </c>
      <c r="H448" s="23" t="s">
        <v>23</v>
      </c>
      <c r="I448" s="23">
        <f>IFERROR(INDEX('التقسيم Layout'!$J$4:$J$9,MATCH(C448,'التقسيم Layout'!$B$4:$B$9,0)),"")</f>
        <v>175</v>
      </c>
    </row>
    <row r="449" spans="1:9" ht="17.25" thickTop="1" thickBot="1" x14ac:dyDescent="0.25">
      <c r="A449" s="23">
        <v>445</v>
      </c>
      <c r="B449" s="26" t="s">
        <v>497</v>
      </c>
      <c r="C449" s="32" t="s">
        <v>28</v>
      </c>
      <c r="D449" s="23" t="s">
        <v>26</v>
      </c>
      <c r="E449" s="23" t="s">
        <v>67</v>
      </c>
      <c r="F449" s="23">
        <v>4</v>
      </c>
      <c r="G449" s="23" t="s">
        <v>25</v>
      </c>
      <c r="H449" s="23" t="s">
        <v>23</v>
      </c>
      <c r="I449" s="23">
        <f>IFERROR(INDEX('التقسيم Layout'!$J$4:$J$9,MATCH(C449,'التقسيم Layout'!$B$4:$B$9,0)),"")</f>
        <v>175</v>
      </c>
    </row>
    <row r="450" spans="1:9" ht="17.25" thickTop="1" thickBot="1" x14ac:dyDescent="0.25">
      <c r="A450" s="23">
        <v>446</v>
      </c>
      <c r="B450" s="26" t="s">
        <v>498</v>
      </c>
      <c r="C450" s="32" t="s">
        <v>28</v>
      </c>
      <c r="D450" s="23" t="s">
        <v>13</v>
      </c>
      <c r="E450" s="23" t="s">
        <v>59</v>
      </c>
      <c r="F450" s="23">
        <v>5</v>
      </c>
      <c r="G450" s="23" t="s">
        <v>25</v>
      </c>
      <c r="H450" s="23" t="s">
        <v>23</v>
      </c>
      <c r="I450" s="23">
        <f>IFERROR(INDEX('التقسيم Layout'!$J$4:$J$9,MATCH(C450,'التقسيم Layout'!$B$4:$B$9,0)),"")</f>
        <v>175</v>
      </c>
    </row>
    <row r="451" spans="1:9" ht="17.25" thickTop="1" thickBot="1" x14ac:dyDescent="0.25">
      <c r="A451" s="23">
        <v>447</v>
      </c>
      <c r="B451" s="26" t="s">
        <v>499</v>
      </c>
      <c r="C451" s="32" t="s">
        <v>28</v>
      </c>
      <c r="D451" s="23" t="s">
        <v>17</v>
      </c>
      <c r="E451" s="23" t="s">
        <v>61</v>
      </c>
      <c r="F451" s="23">
        <v>5</v>
      </c>
      <c r="G451" s="23" t="s">
        <v>25</v>
      </c>
      <c r="H451" s="23" t="s">
        <v>23</v>
      </c>
      <c r="I451" s="23">
        <f>IFERROR(INDEX('التقسيم Layout'!$J$4:$J$9,MATCH(C451,'التقسيم Layout'!$B$4:$B$9,0)),"")</f>
        <v>175</v>
      </c>
    </row>
    <row r="452" spans="1:9" ht="17.25" thickTop="1" thickBot="1" x14ac:dyDescent="0.25">
      <c r="A452" s="23">
        <v>448</v>
      </c>
      <c r="B452" s="26" t="s">
        <v>500</v>
      </c>
      <c r="C452" s="32" t="s">
        <v>28</v>
      </c>
      <c r="D452" s="23" t="s">
        <v>20</v>
      </c>
      <c r="E452" s="23" t="s">
        <v>63</v>
      </c>
      <c r="F452" s="23">
        <v>5</v>
      </c>
      <c r="G452" s="23" t="s">
        <v>25</v>
      </c>
      <c r="H452" s="23" t="s">
        <v>23</v>
      </c>
      <c r="I452" s="23">
        <f>IFERROR(INDEX('التقسيم Layout'!$J$4:$J$9,MATCH(C452,'التقسيم Layout'!$B$4:$B$9,0)),"")</f>
        <v>175</v>
      </c>
    </row>
    <row r="453" spans="1:9" ht="17.25" thickTop="1" thickBot="1" x14ac:dyDescent="0.25">
      <c r="A453" s="23">
        <v>449</v>
      </c>
      <c r="B453" s="26" t="s">
        <v>501</v>
      </c>
      <c r="C453" s="32" t="s">
        <v>28</v>
      </c>
      <c r="D453" s="23" t="s">
        <v>22</v>
      </c>
      <c r="E453" s="23" t="s">
        <v>65</v>
      </c>
      <c r="F453" s="23">
        <v>5</v>
      </c>
      <c r="G453" s="23" t="s">
        <v>25</v>
      </c>
      <c r="H453" s="23" t="s">
        <v>23</v>
      </c>
      <c r="I453" s="23">
        <f>IFERROR(INDEX('التقسيم Layout'!$J$4:$J$9,MATCH(C453,'التقسيم Layout'!$B$4:$B$9,0)),"")</f>
        <v>175</v>
      </c>
    </row>
    <row r="454" spans="1:9" ht="17.25" thickTop="1" thickBot="1" x14ac:dyDescent="0.25">
      <c r="A454" s="23">
        <v>450</v>
      </c>
      <c r="B454" s="26" t="s">
        <v>502</v>
      </c>
      <c r="C454" s="32" t="s">
        <v>28</v>
      </c>
      <c r="D454" s="23" t="s">
        <v>26</v>
      </c>
      <c r="E454" s="23" t="s">
        <v>67</v>
      </c>
      <c r="F454" s="23">
        <v>5</v>
      </c>
      <c r="G454" s="23" t="s">
        <v>25</v>
      </c>
      <c r="H454" s="23" t="s">
        <v>23</v>
      </c>
      <c r="I454" s="23">
        <f>IFERROR(INDEX('التقسيم Layout'!$J$4:$J$9,MATCH(C454,'التقسيم Layout'!$B$4:$B$9,0)),"")</f>
        <v>175</v>
      </c>
    </row>
    <row r="455" spans="1:9" ht="17.25" thickTop="1" thickBot="1" x14ac:dyDescent="0.25">
      <c r="A455" s="23">
        <v>451</v>
      </c>
      <c r="B455" s="26" t="s">
        <v>503</v>
      </c>
      <c r="C455" s="32" t="s">
        <v>28</v>
      </c>
      <c r="D455" s="23" t="s">
        <v>13</v>
      </c>
      <c r="E455" s="23" t="s">
        <v>59</v>
      </c>
      <c r="F455" s="23">
        <v>6</v>
      </c>
      <c r="G455" s="23" t="s">
        <v>25</v>
      </c>
      <c r="H455" s="23" t="s">
        <v>23</v>
      </c>
      <c r="I455" s="23">
        <f>IFERROR(INDEX('التقسيم Layout'!$J$4:$J$9,MATCH(C455,'التقسيم Layout'!$B$4:$B$9,0)),"")</f>
        <v>175</v>
      </c>
    </row>
    <row r="456" spans="1:9" ht="17.25" thickTop="1" thickBot="1" x14ac:dyDescent="0.25">
      <c r="A456" s="23">
        <v>452</v>
      </c>
      <c r="B456" s="26" t="s">
        <v>504</v>
      </c>
      <c r="C456" s="32" t="s">
        <v>28</v>
      </c>
      <c r="D456" s="23" t="s">
        <v>17</v>
      </c>
      <c r="E456" s="23" t="s">
        <v>61</v>
      </c>
      <c r="F456" s="23">
        <v>6</v>
      </c>
      <c r="G456" s="23" t="s">
        <v>25</v>
      </c>
      <c r="H456" s="23" t="s">
        <v>23</v>
      </c>
      <c r="I456" s="23">
        <f>IFERROR(INDEX('التقسيم Layout'!$J$4:$J$9,MATCH(C456,'التقسيم Layout'!$B$4:$B$9,0)),"")</f>
        <v>175</v>
      </c>
    </row>
    <row r="457" spans="1:9" ht="17.25" thickTop="1" thickBot="1" x14ac:dyDescent="0.25">
      <c r="A457" s="23">
        <v>453</v>
      </c>
      <c r="B457" s="26" t="s">
        <v>505</v>
      </c>
      <c r="C457" s="32" t="s">
        <v>28</v>
      </c>
      <c r="D457" s="23" t="s">
        <v>20</v>
      </c>
      <c r="E457" s="23" t="s">
        <v>63</v>
      </c>
      <c r="F457" s="23">
        <v>6</v>
      </c>
      <c r="G457" s="23" t="s">
        <v>25</v>
      </c>
      <c r="H457" s="23" t="s">
        <v>23</v>
      </c>
      <c r="I457" s="23">
        <f>IFERROR(INDEX('التقسيم Layout'!$J$4:$J$9,MATCH(C457,'التقسيم Layout'!$B$4:$B$9,0)),"")</f>
        <v>175</v>
      </c>
    </row>
    <row r="458" spans="1:9" ht="17.25" thickTop="1" thickBot="1" x14ac:dyDescent="0.25">
      <c r="A458" s="23">
        <v>454</v>
      </c>
      <c r="B458" s="26" t="s">
        <v>506</v>
      </c>
      <c r="C458" s="32" t="s">
        <v>28</v>
      </c>
      <c r="D458" s="23" t="s">
        <v>22</v>
      </c>
      <c r="E458" s="23" t="s">
        <v>65</v>
      </c>
      <c r="F458" s="23">
        <v>6</v>
      </c>
      <c r="G458" s="23" t="s">
        <v>25</v>
      </c>
      <c r="H458" s="23" t="s">
        <v>23</v>
      </c>
      <c r="I458" s="23">
        <f>IFERROR(INDEX('التقسيم Layout'!$J$4:$J$9,MATCH(C458,'التقسيم Layout'!$B$4:$B$9,0)),"")</f>
        <v>175</v>
      </c>
    </row>
    <row r="459" spans="1:9" ht="17.25" thickTop="1" thickBot="1" x14ac:dyDescent="0.25">
      <c r="A459" s="23">
        <v>455</v>
      </c>
      <c r="B459" s="26" t="s">
        <v>507</v>
      </c>
      <c r="C459" s="32" t="s">
        <v>28</v>
      </c>
      <c r="D459" s="23" t="s">
        <v>26</v>
      </c>
      <c r="E459" s="23" t="s">
        <v>67</v>
      </c>
      <c r="F459" s="23">
        <v>6</v>
      </c>
      <c r="G459" s="23" t="s">
        <v>25</v>
      </c>
      <c r="H459" s="23" t="s">
        <v>23</v>
      </c>
      <c r="I459" s="23">
        <f>IFERROR(INDEX('التقسيم Layout'!$J$4:$J$9,MATCH(C459,'التقسيم Layout'!$B$4:$B$9,0)),"")</f>
        <v>175</v>
      </c>
    </row>
    <row r="460" spans="1:9" ht="17.25" thickTop="1" thickBot="1" x14ac:dyDescent="0.25">
      <c r="A460" s="23">
        <v>456</v>
      </c>
      <c r="B460" s="26" t="s">
        <v>508</v>
      </c>
      <c r="C460" s="32" t="s">
        <v>28</v>
      </c>
      <c r="D460" s="23" t="s">
        <v>13</v>
      </c>
      <c r="E460" s="23" t="s">
        <v>59</v>
      </c>
      <c r="F460" s="23">
        <v>7</v>
      </c>
      <c r="G460" s="23" t="s">
        <v>25</v>
      </c>
      <c r="H460" s="23" t="s">
        <v>23</v>
      </c>
      <c r="I460" s="23">
        <f>IFERROR(INDEX('التقسيم Layout'!$J$4:$J$9,MATCH(C460,'التقسيم Layout'!$B$4:$B$9,0)),"")</f>
        <v>175</v>
      </c>
    </row>
    <row r="461" spans="1:9" ht="17.25" thickTop="1" thickBot="1" x14ac:dyDescent="0.25">
      <c r="A461" s="23">
        <v>457</v>
      </c>
      <c r="B461" s="26" t="s">
        <v>509</v>
      </c>
      <c r="C461" s="32" t="s">
        <v>28</v>
      </c>
      <c r="D461" s="23" t="s">
        <v>17</v>
      </c>
      <c r="E461" s="23" t="s">
        <v>61</v>
      </c>
      <c r="F461" s="23">
        <v>7</v>
      </c>
      <c r="G461" s="23" t="s">
        <v>25</v>
      </c>
      <c r="H461" s="23" t="s">
        <v>23</v>
      </c>
      <c r="I461" s="23">
        <f>IFERROR(INDEX('التقسيم Layout'!$J$4:$J$9,MATCH(C461,'التقسيم Layout'!$B$4:$B$9,0)),"")</f>
        <v>175</v>
      </c>
    </row>
    <row r="462" spans="1:9" ht="17.25" thickTop="1" thickBot="1" x14ac:dyDescent="0.25">
      <c r="A462" s="23">
        <v>458</v>
      </c>
      <c r="B462" s="26" t="s">
        <v>510</v>
      </c>
      <c r="C462" s="32" t="s">
        <v>28</v>
      </c>
      <c r="D462" s="23" t="s">
        <v>20</v>
      </c>
      <c r="E462" s="23" t="s">
        <v>63</v>
      </c>
      <c r="F462" s="23">
        <v>7</v>
      </c>
      <c r="G462" s="23" t="s">
        <v>25</v>
      </c>
      <c r="H462" s="23" t="s">
        <v>23</v>
      </c>
      <c r="I462" s="23">
        <f>IFERROR(INDEX('التقسيم Layout'!$J$4:$J$9,MATCH(C462,'التقسيم Layout'!$B$4:$B$9,0)),"")</f>
        <v>175</v>
      </c>
    </row>
    <row r="463" spans="1:9" ht="17.25" thickTop="1" thickBot="1" x14ac:dyDescent="0.25">
      <c r="A463" s="23">
        <v>459</v>
      </c>
      <c r="B463" s="26" t="s">
        <v>511</v>
      </c>
      <c r="C463" s="32" t="s">
        <v>28</v>
      </c>
      <c r="D463" s="23" t="s">
        <v>22</v>
      </c>
      <c r="E463" s="23" t="s">
        <v>65</v>
      </c>
      <c r="F463" s="23">
        <v>7</v>
      </c>
      <c r="G463" s="23" t="s">
        <v>25</v>
      </c>
      <c r="H463" s="23" t="s">
        <v>23</v>
      </c>
      <c r="I463" s="23">
        <f>IFERROR(INDEX('التقسيم Layout'!$J$4:$J$9,MATCH(C463,'التقسيم Layout'!$B$4:$B$9,0)),"")</f>
        <v>175</v>
      </c>
    </row>
    <row r="464" spans="1:9" ht="17.25" thickTop="1" thickBot="1" x14ac:dyDescent="0.25">
      <c r="A464" s="23">
        <v>460</v>
      </c>
      <c r="B464" s="26" t="s">
        <v>512</v>
      </c>
      <c r="C464" s="32" t="s">
        <v>28</v>
      </c>
      <c r="D464" s="23" t="s">
        <v>26</v>
      </c>
      <c r="E464" s="23" t="s">
        <v>67</v>
      </c>
      <c r="F464" s="23">
        <v>7</v>
      </c>
      <c r="G464" s="23" t="s">
        <v>25</v>
      </c>
      <c r="H464" s="23" t="s">
        <v>23</v>
      </c>
      <c r="I464" s="23">
        <f>IFERROR(INDEX('التقسيم Layout'!$J$4:$J$9,MATCH(C464,'التقسيم Layout'!$B$4:$B$9,0)),"")</f>
        <v>175</v>
      </c>
    </row>
    <row r="465" spans="1:9" ht="17.25" thickTop="1" thickBot="1" x14ac:dyDescent="0.25">
      <c r="A465" s="23">
        <v>461</v>
      </c>
      <c r="B465" s="26" t="s">
        <v>513</v>
      </c>
      <c r="C465" s="32" t="s">
        <v>28</v>
      </c>
      <c r="D465" s="23" t="s">
        <v>13</v>
      </c>
      <c r="E465" s="23" t="s">
        <v>59</v>
      </c>
      <c r="F465" s="23">
        <v>8</v>
      </c>
      <c r="G465" s="23" t="s">
        <v>25</v>
      </c>
      <c r="H465" s="23" t="s">
        <v>23</v>
      </c>
      <c r="I465" s="23">
        <f>IFERROR(INDEX('التقسيم Layout'!$J$4:$J$9,MATCH(C465,'التقسيم Layout'!$B$4:$B$9,0)),"")</f>
        <v>175</v>
      </c>
    </row>
    <row r="466" spans="1:9" ht="17.25" thickTop="1" thickBot="1" x14ac:dyDescent="0.25">
      <c r="A466" s="23">
        <v>462</v>
      </c>
      <c r="B466" s="26" t="s">
        <v>514</v>
      </c>
      <c r="C466" s="32" t="s">
        <v>28</v>
      </c>
      <c r="D466" s="23" t="s">
        <v>17</v>
      </c>
      <c r="E466" s="23" t="s">
        <v>61</v>
      </c>
      <c r="F466" s="23">
        <v>8</v>
      </c>
      <c r="G466" s="23" t="s">
        <v>25</v>
      </c>
      <c r="H466" s="23" t="s">
        <v>23</v>
      </c>
      <c r="I466" s="23">
        <f>IFERROR(INDEX('التقسيم Layout'!$J$4:$J$9,MATCH(C466,'التقسيم Layout'!$B$4:$B$9,0)),"")</f>
        <v>175</v>
      </c>
    </row>
    <row r="467" spans="1:9" ht="17.25" thickTop="1" thickBot="1" x14ac:dyDescent="0.25">
      <c r="A467" s="23">
        <v>463</v>
      </c>
      <c r="B467" s="26" t="s">
        <v>515</v>
      </c>
      <c r="C467" s="32" t="s">
        <v>28</v>
      </c>
      <c r="D467" s="23" t="s">
        <v>20</v>
      </c>
      <c r="E467" s="23" t="s">
        <v>63</v>
      </c>
      <c r="F467" s="23">
        <v>8</v>
      </c>
      <c r="G467" s="23" t="s">
        <v>25</v>
      </c>
      <c r="H467" s="23" t="s">
        <v>23</v>
      </c>
      <c r="I467" s="23">
        <f>IFERROR(INDEX('التقسيم Layout'!$J$4:$J$9,MATCH(C467,'التقسيم Layout'!$B$4:$B$9,0)),"")</f>
        <v>175</v>
      </c>
    </row>
    <row r="468" spans="1:9" ht="17.25" thickTop="1" thickBot="1" x14ac:dyDescent="0.25">
      <c r="A468" s="23">
        <v>464</v>
      </c>
      <c r="B468" s="26" t="s">
        <v>516</v>
      </c>
      <c r="C468" s="32" t="s">
        <v>28</v>
      </c>
      <c r="D468" s="23" t="s">
        <v>22</v>
      </c>
      <c r="E468" s="23" t="s">
        <v>65</v>
      </c>
      <c r="F468" s="23">
        <v>8</v>
      </c>
      <c r="G468" s="23" t="s">
        <v>25</v>
      </c>
      <c r="H468" s="23" t="s">
        <v>23</v>
      </c>
      <c r="I468" s="23">
        <f>IFERROR(INDEX('التقسيم Layout'!$J$4:$J$9,MATCH(C468,'التقسيم Layout'!$B$4:$B$9,0)),"")</f>
        <v>175</v>
      </c>
    </row>
    <row r="469" spans="1:9" ht="17.25" thickTop="1" thickBot="1" x14ac:dyDescent="0.25">
      <c r="A469" s="23">
        <v>465</v>
      </c>
      <c r="B469" s="26" t="s">
        <v>517</v>
      </c>
      <c r="C469" s="32" t="s">
        <v>28</v>
      </c>
      <c r="D469" s="23" t="s">
        <v>26</v>
      </c>
      <c r="E469" s="23" t="s">
        <v>67</v>
      </c>
      <c r="F469" s="23">
        <v>8</v>
      </c>
      <c r="G469" s="23" t="s">
        <v>25</v>
      </c>
      <c r="H469" s="23" t="s">
        <v>23</v>
      </c>
      <c r="I469" s="23">
        <f>IFERROR(INDEX('التقسيم Layout'!$J$4:$J$9,MATCH(C469,'التقسيم Layout'!$B$4:$B$9,0)),"")</f>
        <v>175</v>
      </c>
    </row>
    <row r="470" spans="1:9" ht="17.25" thickTop="1" thickBot="1" x14ac:dyDescent="0.25">
      <c r="A470" s="23">
        <v>466</v>
      </c>
      <c r="B470" s="26" t="s">
        <v>518</v>
      </c>
      <c r="C470" s="32" t="s">
        <v>28</v>
      </c>
      <c r="D470" s="23" t="s">
        <v>13</v>
      </c>
      <c r="E470" s="23" t="s">
        <v>59</v>
      </c>
      <c r="F470" s="23">
        <v>9</v>
      </c>
      <c r="G470" s="23" t="s">
        <v>25</v>
      </c>
      <c r="H470" s="23" t="s">
        <v>23</v>
      </c>
      <c r="I470" s="23">
        <f>IFERROR(INDEX('التقسيم Layout'!$J$4:$J$9,MATCH(C470,'التقسيم Layout'!$B$4:$B$9,0)),"")</f>
        <v>175</v>
      </c>
    </row>
    <row r="471" spans="1:9" ht="17.25" thickTop="1" thickBot="1" x14ac:dyDescent="0.25">
      <c r="A471" s="23">
        <v>467</v>
      </c>
      <c r="B471" s="26" t="s">
        <v>519</v>
      </c>
      <c r="C471" s="32" t="s">
        <v>28</v>
      </c>
      <c r="D471" s="23" t="s">
        <v>17</v>
      </c>
      <c r="E471" s="23" t="s">
        <v>61</v>
      </c>
      <c r="F471" s="23">
        <v>9</v>
      </c>
      <c r="G471" s="23" t="s">
        <v>25</v>
      </c>
      <c r="H471" s="23" t="s">
        <v>23</v>
      </c>
      <c r="I471" s="23">
        <f>IFERROR(INDEX('التقسيم Layout'!$J$4:$J$9,MATCH(C471,'التقسيم Layout'!$B$4:$B$9,0)),"")</f>
        <v>175</v>
      </c>
    </row>
    <row r="472" spans="1:9" ht="17.25" thickTop="1" thickBot="1" x14ac:dyDescent="0.25">
      <c r="A472" s="23">
        <v>468</v>
      </c>
      <c r="B472" s="26" t="s">
        <v>520</v>
      </c>
      <c r="C472" s="32" t="s">
        <v>28</v>
      </c>
      <c r="D472" s="23" t="s">
        <v>20</v>
      </c>
      <c r="E472" s="23" t="s">
        <v>63</v>
      </c>
      <c r="F472" s="23">
        <v>9</v>
      </c>
      <c r="G472" s="23" t="s">
        <v>25</v>
      </c>
      <c r="H472" s="23" t="s">
        <v>23</v>
      </c>
      <c r="I472" s="23">
        <f>IFERROR(INDEX('التقسيم Layout'!$J$4:$J$9,MATCH(C472,'التقسيم Layout'!$B$4:$B$9,0)),"")</f>
        <v>175</v>
      </c>
    </row>
    <row r="473" spans="1:9" ht="17.25" thickTop="1" thickBot="1" x14ac:dyDescent="0.25">
      <c r="A473" s="23">
        <v>469</v>
      </c>
      <c r="B473" s="26" t="s">
        <v>521</v>
      </c>
      <c r="C473" s="32" t="s">
        <v>28</v>
      </c>
      <c r="D473" s="23" t="s">
        <v>22</v>
      </c>
      <c r="E473" s="23" t="s">
        <v>65</v>
      </c>
      <c r="F473" s="23">
        <v>9</v>
      </c>
      <c r="G473" s="23" t="s">
        <v>25</v>
      </c>
      <c r="H473" s="23" t="s">
        <v>23</v>
      </c>
      <c r="I473" s="23">
        <f>IFERROR(INDEX('التقسيم Layout'!$J$4:$J$9,MATCH(C473,'التقسيم Layout'!$B$4:$B$9,0)),"")</f>
        <v>175</v>
      </c>
    </row>
    <row r="474" spans="1:9" ht="17.25" thickTop="1" thickBot="1" x14ac:dyDescent="0.25">
      <c r="A474" s="23">
        <v>470</v>
      </c>
      <c r="B474" s="26" t="s">
        <v>522</v>
      </c>
      <c r="C474" s="32" t="s">
        <v>28</v>
      </c>
      <c r="D474" s="23" t="s">
        <v>26</v>
      </c>
      <c r="E474" s="23" t="s">
        <v>67</v>
      </c>
      <c r="F474" s="23">
        <v>9</v>
      </c>
      <c r="G474" s="23" t="s">
        <v>25</v>
      </c>
      <c r="H474" s="23" t="s">
        <v>23</v>
      </c>
      <c r="I474" s="23">
        <f>IFERROR(INDEX('التقسيم Layout'!$J$4:$J$9,MATCH(C474,'التقسيم Layout'!$B$4:$B$9,0)),"")</f>
        <v>175</v>
      </c>
    </row>
    <row r="475" spans="1:9" ht="17.25" thickTop="1" thickBot="1" x14ac:dyDescent="0.25">
      <c r="A475" s="23">
        <v>471</v>
      </c>
      <c r="B475" s="26" t="s">
        <v>523</v>
      </c>
      <c r="C475" s="32" t="s">
        <v>28</v>
      </c>
      <c r="D475" s="23" t="s">
        <v>13</v>
      </c>
      <c r="E475" s="23" t="s">
        <v>59</v>
      </c>
      <c r="F475" s="23">
        <v>10</v>
      </c>
      <c r="G475" s="23" t="s">
        <v>25</v>
      </c>
      <c r="H475" s="23" t="s">
        <v>23</v>
      </c>
      <c r="I475" s="23">
        <f>IFERROR(INDEX('التقسيم Layout'!$J$4:$J$9,MATCH(C475,'التقسيم Layout'!$B$4:$B$9,0)),"")</f>
        <v>175</v>
      </c>
    </row>
    <row r="476" spans="1:9" ht="17.25" thickTop="1" thickBot="1" x14ac:dyDescent="0.25">
      <c r="A476" s="23">
        <v>472</v>
      </c>
      <c r="B476" s="26" t="s">
        <v>524</v>
      </c>
      <c r="C476" s="32" t="s">
        <v>28</v>
      </c>
      <c r="D476" s="23" t="s">
        <v>17</v>
      </c>
      <c r="E476" s="23" t="s">
        <v>61</v>
      </c>
      <c r="F476" s="23">
        <v>10</v>
      </c>
      <c r="G476" s="23" t="s">
        <v>25</v>
      </c>
      <c r="H476" s="23" t="s">
        <v>23</v>
      </c>
      <c r="I476" s="23">
        <f>IFERROR(INDEX('التقسيم Layout'!$J$4:$J$9,MATCH(C476,'التقسيم Layout'!$B$4:$B$9,0)),"")</f>
        <v>175</v>
      </c>
    </row>
    <row r="477" spans="1:9" ht="17.25" thickTop="1" thickBot="1" x14ac:dyDescent="0.25">
      <c r="A477" s="23">
        <v>473</v>
      </c>
      <c r="B477" s="26" t="s">
        <v>525</v>
      </c>
      <c r="C477" s="32" t="s">
        <v>28</v>
      </c>
      <c r="D477" s="23" t="s">
        <v>20</v>
      </c>
      <c r="E477" s="23" t="s">
        <v>63</v>
      </c>
      <c r="F477" s="23">
        <v>10</v>
      </c>
      <c r="G477" s="23" t="s">
        <v>25</v>
      </c>
      <c r="H477" s="23" t="s">
        <v>23</v>
      </c>
      <c r="I477" s="23">
        <f>IFERROR(INDEX('التقسيم Layout'!$J$4:$J$9,MATCH(C477,'التقسيم Layout'!$B$4:$B$9,0)),"")</f>
        <v>175</v>
      </c>
    </row>
    <row r="478" spans="1:9" ht="17.25" thickTop="1" thickBot="1" x14ac:dyDescent="0.25">
      <c r="A478" s="23">
        <v>474</v>
      </c>
      <c r="B478" s="26" t="s">
        <v>526</v>
      </c>
      <c r="C478" s="32" t="s">
        <v>28</v>
      </c>
      <c r="D478" s="23" t="s">
        <v>22</v>
      </c>
      <c r="E478" s="23" t="s">
        <v>65</v>
      </c>
      <c r="F478" s="23">
        <v>10</v>
      </c>
      <c r="G478" s="23" t="s">
        <v>25</v>
      </c>
      <c r="H478" s="23" t="s">
        <v>23</v>
      </c>
      <c r="I478" s="23">
        <f>IFERROR(INDEX('التقسيم Layout'!$J$4:$J$9,MATCH(C478,'التقسيم Layout'!$B$4:$B$9,0)),"")</f>
        <v>175</v>
      </c>
    </row>
    <row r="479" spans="1:9" ht="17.25" thickTop="1" thickBot="1" x14ac:dyDescent="0.25">
      <c r="A479" s="23">
        <v>475</v>
      </c>
      <c r="B479" s="26" t="s">
        <v>527</v>
      </c>
      <c r="C479" s="32" t="s">
        <v>28</v>
      </c>
      <c r="D479" s="23" t="s">
        <v>26</v>
      </c>
      <c r="E479" s="23" t="s">
        <v>67</v>
      </c>
      <c r="F479" s="23">
        <v>10</v>
      </c>
      <c r="G479" s="23" t="s">
        <v>25</v>
      </c>
      <c r="H479" s="23" t="s">
        <v>23</v>
      </c>
      <c r="I479" s="23">
        <f>IFERROR(INDEX('التقسيم Layout'!$J$4:$J$9,MATCH(C479,'التقسيم Layout'!$B$4:$B$9,0)),"")</f>
        <v>175</v>
      </c>
    </row>
    <row r="480" spans="1:9" ht="17.25" thickTop="1" thickBot="1" x14ac:dyDescent="0.25">
      <c r="A480" s="23">
        <v>476</v>
      </c>
      <c r="B480" s="26" t="s">
        <v>528</v>
      </c>
      <c r="C480" s="32" t="s">
        <v>28</v>
      </c>
      <c r="D480" s="23" t="s">
        <v>13</v>
      </c>
      <c r="E480" s="23" t="s">
        <v>59</v>
      </c>
      <c r="F480" s="23">
        <v>11</v>
      </c>
      <c r="G480" s="23" t="s">
        <v>25</v>
      </c>
      <c r="H480" s="23" t="s">
        <v>23</v>
      </c>
      <c r="I480" s="23">
        <f>IFERROR(INDEX('التقسيم Layout'!$J$4:$J$9,MATCH(C480,'التقسيم Layout'!$B$4:$B$9,0)),"")</f>
        <v>175</v>
      </c>
    </row>
    <row r="481" spans="1:9" ht="17.25" thickTop="1" thickBot="1" x14ac:dyDescent="0.25">
      <c r="A481" s="23">
        <v>477</v>
      </c>
      <c r="B481" s="26" t="s">
        <v>529</v>
      </c>
      <c r="C481" s="32" t="s">
        <v>28</v>
      </c>
      <c r="D481" s="23" t="s">
        <v>17</v>
      </c>
      <c r="E481" s="23" t="s">
        <v>61</v>
      </c>
      <c r="F481" s="23">
        <v>11</v>
      </c>
      <c r="G481" s="23" t="s">
        <v>25</v>
      </c>
      <c r="H481" s="23" t="s">
        <v>23</v>
      </c>
      <c r="I481" s="23">
        <f>IFERROR(INDEX('التقسيم Layout'!$J$4:$J$9,MATCH(C481,'التقسيم Layout'!$B$4:$B$9,0)),"")</f>
        <v>175</v>
      </c>
    </row>
    <row r="482" spans="1:9" ht="17.25" thickTop="1" thickBot="1" x14ac:dyDescent="0.25">
      <c r="A482" s="23">
        <v>478</v>
      </c>
      <c r="B482" s="26" t="s">
        <v>530</v>
      </c>
      <c r="C482" s="32" t="s">
        <v>28</v>
      </c>
      <c r="D482" s="23" t="s">
        <v>20</v>
      </c>
      <c r="E482" s="23" t="s">
        <v>63</v>
      </c>
      <c r="F482" s="23">
        <v>11</v>
      </c>
      <c r="G482" s="23" t="s">
        <v>25</v>
      </c>
      <c r="H482" s="23" t="s">
        <v>23</v>
      </c>
      <c r="I482" s="23">
        <f>IFERROR(INDEX('التقسيم Layout'!$J$4:$J$9,MATCH(C482,'التقسيم Layout'!$B$4:$B$9,0)),"")</f>
        <v>175</v>
      </c>
    </row>
    <row r="483" spans="1:9" ht="17.25" thickTop="1" thickBot="1" x14ac:dyDescent="0.25">
      <c r="A483" s="23">
        <v>479</v>
      </c>
      <c r="B483" s="26" t="s">
        <v>531</v>
      </c>
      <c r="C483" s="32" t="s">
        <v>28</v>
      </c>
      <c r="D483" s="23" t="s">
        <v>22</v>
      </c>
      <c r="E483" s="23" t="s">
        <v>65</v>
      </c>
      <c r="F483" s="23">
        <v>11</v>
      </c>
      <c r="G483" s="23" t="s">
        <v>25</v>
      </c>
      <c r="H483" s="23" t="s">
        <v>23</v>
      </c>
      <c r="I483" s="23">
        <f>IFERROR(INDEX('التقسيم Layout'!$J$4:$J$9,MATCH(C483,'التقسيم Layout'!$B$4:$B$9,0)),"")</f>
        <v>175</v>
      </c>
    </row>
    <row r="484" spans="1:9" ht="17.25" thickTop="1" thickBot="1" x14ac:dyDescent="0.25">
      <c r="A484" s="23">
        <v>480</v>
      </c>
      <c r="B484" s="26" t="s">
        <v>532</v>
      </c>
      <c r="C484" s="32" t="s">
        <v>28</v>
      </c>
      <c r="D484" s="23" t="s">
        <v>26</v>
      </c>
      <c r="E484" s="23" t="s">
        <v>67</v>
      </c>
      <c r="F484" s="23">
        <v>11</v>
      </c>
      <c r="G484" s="23" t="s">
        <v>25</v>
      </c>
      <c r="H484" s="23" t="s">
        <v>23</v>
      </c>
      <c r="I484" s="23">
        <f>IFERROR(INDEX('التقسيم Layout'!$J$4:$J$9,MATCH(C484,'التقسيم Layout'!$B$4:$B$9,0)),"")</f>
        <v>175</v>
      </c>
    </row>
    <row r="485" spans="1:9" ht="17.25" thickTop="1" thickBot="1" x14ac:dyDescent="0.25">
      <c r="A485" s="23">
        <v>481</v>
      </c>
      <c r="B485" s="26" t="s">
        <v>533</v>
      </c>
      <c r="C485" s="32" t="s">
        <v>28</v>
      </c>
      <c r="D485" s="23" t="s">
        <v>13</v>
      </c>
      <c r="E485" s="23" t="s">
        <v>59</v>
      </c>
      <c r="F485" s="23">
        <v>12</v>
      </c>
      <c r="G485" s="23" t="s">
        <v>25</v>
      </c>
      <c r="H485" s="23" t="s">
        <v>23</v>
      </c>
      <c r="I485" s="23">
        <f>IFERROR(INDEX('التقسيم Layout'!$J$4:$J$9,MATCH(C485,'التقسيم Layout'!$B$4:$B$9,0)),"")</f>
        <v>175</v>
      </c>
    </row>
    <row r="486" spans="1:9" ht="17.25" thickTop="1" thickBot="1" x14ac:dyDescent="0.25">
      <c r="A486" s="23">
        <v>482</v>
      </c>
      <c r="B486" s="26" t="s">
        <v>534</v>
      </c>
      <c r="C486" s="32" t="s">
        <v>28</v>
      </c>
      <c r="D486" s="23" t="s">
        <v>17</v>
      </c>
      <c r="E486" s="23" t="s">
        <v>61</v>
      </c>
      <c r="F486" s="23">
        <v>12</v>
      </c>
      <c r="G486" s="23" t="s">
        <v>25</v>
      </c>
      <c r="H486" s="23" t="s">
        <v>23</v>
      </c>
      <c r="I486" s="23">
        <f>IFERROR(INDEX('التقسيم Layout'!$J$4:$J$9,MATCH(C486,'التقسيم Layout'!$B$4:$B$9,0)),"")</f>
        <v>175</v>
      </c>
    </row>
    <row r="487" spans="1:9" ht="17.25" thickTop="1" thickBot="1" x14ac:dyDescent="0.25">
      <c r="A487" s="23">
        <v>483</v>
      </c>
      <c r="B487" s="26" t="s">
        <v>535</v>
      </c>
      <c r="C487" s="32" t="s">
        <v>28</v>
      </c>
      <c r="D487" s="23" t="s">
        <v>20</v>
      </c>
      <c r="E487" s="23" t="s">
        <v>63</v>
      </c>
      <c r="F487" s="23">
        <v>12</v>
      </c>
      <c r="G487" s="23" t="s">
        <v>25</v>
      </c>
      <c r="H487" s="23" t="s">
        <v>23</v>
      </c>
      <c r="I487" s="23">
        <f>IFERROR(INDEX('التقسيم Layout'!$J$4:$J$9,MATCH(C487,'التقسيم Layout'!$B$4:$B$9,0)),"")</f>
        <v>175</v>
      </c>
    </row>
    <row r="488" spans="1:9" ht="17.25" thickTop="1" thickBot="1" x14ac:dyDescent="0.25">
      <c r="A488" s="23">
        <v>484</v>
      </c>
      <c r="B488" s="26" t="s">
        <v>536</v>
      </c>
      <c r="C488" s="32" t="s">
        <v>28</v>
      </c>
      <c r="D488" s="23" t="s">
        <v>22</v>
      </c>
      <c r="E488" s="23" t="s">
        <v>65</v>
      </c>
      <c r="F488" s="23">
        <v>12</v>
      </c>
      <c r="G488" s="23" t="s">
        <v>25</v>
      </c>
      <c r="H488" s="23" t="s">
        <v>23</v>
      </c>
      <c r="I488" s="23">
        <f>IFERROR(INDEX('التقسيم Layout'!$J$4:$J$9,MATCH(C488,'التقسيم Layout'!$B$4:$B$9,0)),"")</f>
        <v>175</v>
      </c>
    </row>
    <row r="489" spans="1:9" ht="17.25" thickTop="1" thickBot="1" x14ac:dyDescent="0.25">
      <c r="A489" s="23">
        <v>485</v>
      </c>
      <c r="B489" s="26" t="s">
        <v>537</v>
      </c>
      <c r="C489" s="32" t="s">
        <v>28</v>
      </c>
      <c r="D489" s="23" t="s">
        <v>26</v>
      </c>
      <c r="E489" s="23" t="s">
        <v>67</v>
      </c>
      <c r="F489" s="23">
        <v>12</v>
      </c>
      <c r="G489" s="23" t="s">
        <v>25</v>
      </c>
      <c r="H489" s="23" t="s">
        <v>23</v>
      </c>
      <c r="I489" s="23">
        <f>IFERROR(INDEX('التقسيم Layout'!$J$4:$J$9,MATCH(C489,'التقسيم Layout'!$B$4:$B$9,0)),"")</f>
        <v>175</v>
      </c>
    </row>
    <row r="490" spans="1:9" ht="17.25" thickTop="1" thickBot="1" x14ac:dyDescent="0.25">
      <c r="A490" s="23">
        <v>486</v>
      </c>
      <c r="B490" s="26" t="s">
        <v>538</v>
      </c>
      <c r="C490" s="32" t="s">
        <v>28</v>
      </c>
      <c r="D490" s="23" t="s">
        <v>13</v>
      </c>
      <c r="E490" s="23" t="s">
        <v>59</v>
      </c>
      <c r="F490" s="23">
        <v>13</v>
      </c>
      <c r="G490" s="23" t="s">
        <v>25</v>
      </c>
      <c r="H490" s="23" t="s">
        <v>23</v>
      </c>
      <c r="I490" s="23">
        <f>IFERROR(INDEX('التقسيم Layout'!$J$4:$J$9,MATCH(C490,'التقسيم Layout'!$B$4:$B$9,0)),"")</f>
        <v>175</v>
      </c>
    </row>
    <row r="491" spans="1:9" ht="17.25" thickTop="1" thickBot="1" x14ac:dyDescent="0.25">
      <c r="A491" s="23">
        <v>487</v>
      </c>
      <c r="B491" s="26" t="s">
        <v>539</v>
      </c>
      <c r="C491" s="32" t="s">
        <v>28</v>
      </c>
      <c r="D491" s="23" t="s">
        <v>17</v>
      </c>
      <c r="E491" s="23" t="s">
        <v>61</v>
      </c>
      <c r="F491" s="23">
        <v>13</v>
      </c>
      <c r="G491" s="23" t="s">
        <v>25</v>
      </c>
      <c r="H491" s="23" t="s">
        <v>23</v>
      </c>
      <c r="I491" s="23">
        <f>IFERROR(INDEX('التقسيم Layout'!$J$4:$J$9,MATCH(C491,'التقسيم Layout'!$B$4:$B$9,0)),"")</f>
        <v>175</v>
      </c>
    </row>
    <row r="492" spans="1:9" ht="17.25" thickTop="1" thickBot="1" x14ac:dyDescent="0.25">
      <c r="A492" s="23">
        <v>488</v>
      </c>
      <c r="B492" s="26" t="s">
        <v>540</v>
      </c>
      <c r="C492" s="32" t="s">
        <v>28</v>
      </c>
      <c r="D492" s="23" t="s">
        <v>20</v>
      </c>
      <c r="E492" s="23" t="s">
        <v>63</v>
      </c>
      <c r="F492" s="23">
        <v>13</v>
      </c>
      <c r="G492" s="23" t="s">
        <v>25</v>
      </c>
      <c r="H492" s="23" t="s">
        <v>23</v>
      </c>
      <c r="I492" s="23">
        <f>IFERROR(INDEX('التقسيم Layout'!$J$4:$J$9,MATCH(C492,'التقسيم Layout'!$B$4:$B$9,0)),"")</f>
        <v>175</v>
      </c>
    </row>
    <row r="493" spans="1:9" ht="17.25" thickTop="1" thickBot="1" x14ac:dyDescent="0.25">
      <c r="A493" s="23">
        <v>489</v>
      </c>
      <c r="B493" s="26" t="s">
        <v>541</v>
      </c>
      <c r="C493" s="32" t="s">
        <v>28</v>
      </c>
      <c r="D493" s="23" t="s">
        <v>22</v>
      </c>
      <c r="E493" s="23" t="s">
        <v>65</v>
      </c>
      <c r="F493" s="23">
        <v>13</v>
      </c>
      <c r="G493" s="23" t="s">
        <v>25</v>
      </c>
      <c r="H493" s="23" t="s">
        <v>23</v>
      </c>
      <c r="I493" s="23">
        <f>IFERROR(INDEX('التقسيم Layout'!$J$4:$J$9,MATCH(C493,'التقسيم Layout'!$B$4:$B$9,0)),"")</f>
        <v>175</v>
      </c>
    </row>
    <row r="494" spans="1:9" ht="17.25" thickTop="1" thickBot="1" x14ac:dyDescent="0.25">
      <c r="A494" s="23">
        <v>490</v>
      </c>
      <c r="B494" s="26" t="s">
        <v>542</v>
      </c>
      <c r="C494" s="32" t="s">
        <v>28</v>
      </c>
      <c r="D494" s="23" t="s">
        <v>26</v>
      </c>
      <c r="E494" s="23" t="s">
        <v>67</v>
      </c>
      <c r="F494" s="23">
        <v>13</v>
      </c>
      <c r="G494" s="23" t="s">
        <v>25</v>
      </c>
      <c r="H494" s="23" t="s">
        <v>23</v>
      </c>
      <c r="I494" s="23">
        <f>IFERROR(INDEX('التقسيم Layout'!$J$4:$J$9,MATCH(C494,'التقسيم Layout'!$B$4:$B$9,0)),"")</f>
        <v>175</v>
      </c>
    </row>
    <row r="495" spans="1:9" ht="17.25" thickTop="1" thickBot="1" x14ac:dyDescent="0.25">
      <c r="A495" s="23">
        <v>491</v>
      </c>
      <c r="B495" s="26" t="s">
        <v>543</v>
      </c>
      <c r="C495" s="32" t="s">
        <v>28</v>
      </c>
      <c r="D495" s="23" t="s">
        <v>13</v>
      </c>
      <c r="E495" s="23" t="s">
        <v>59</v>
      </c>
      <c r="F495" s="23">
        <v>14</v>
      </c>
      <c r="G495" s="23" t="s">
        <v>25</v>
      </c>
      <c r="H495" s="23" t="s">
        <v>23</v>
      </c>
      <c r="I495" s="23">
        <f>IFERROR(INDEX('التقسيم Layout'!$J$4:$J$9,MATCH(C495,'التقسيم Layout'!$B$4:$B$9,0)),"")</f>
        <v>175</v>
      </c>
    </row>
    <row r="496" spans="1:9" ht="17.25" thickTop="1" thickBot="1" x14ac:dyDescent="0.25">
      <c r="A496" s="23">
        <v>492</v>
      </c>
      <c r="B496" s="26" t="s">
        <v>544</v>
      </c>
      <c r="C496" s="32" t="s">
        <v>28</v>
      </c>
      <c r="D496" s="23" t="s">
        <v>17</v>
      </c>
      <c r="E496" s="23" t="s">
        <v>61</v>
      </c>
      <c r="F496" s="23">
        <v>14</v>
      </c>
      <c r="G496" s="23" t="s">
        <v>25</v>
      </c>
      <c r="H496" s="23" t="s">
        <v>23</v>
      </c>
      <c r="I496" s="23">
        <f>IFERROR(INDEX('التقسيم Layout'!$J$4:$J$9,MATCH(C496,'التقسيم Layout'!$B$4:$B$9,0)),"")</f>
        <v>175</v>
      </c>
    </row>
    <row r="497" spans="1:9" ht="17.25" thickTop="1" thickBot="1" x14ac:dyDescent="0.25">
      <c r="A497" s="23">
        <v>493</v>
      </c>
      <c r="B497" s="26" t="s">
        <v>545</v>
      </c>
      <c r="C497" s="32" t="s">
        <v>28</v>
      </c>
      <c r="D497" s="23" t="s">
        <v>20</v>
      </c>
      <c r="E497" s="23" t="s">
        <v>63</v>
      </c>
      <c r="F497" s="23">
        <v>14</v>
      </c>
      <c r="G497" s="23" t="s">
        <v>25</v>
      </c>
      <c r="H497" s="23" t="s">
        <v>23</v>
      </c>
      <c r="I497" s="23">
        <f>IFERROR(INDEX('التقسيم Layout'!$J$4:$J$9,MATCH(C497,'التقسيم Layout'!$B$4:$B$9,0)),"")</f>
        <v>175</v>
      </c>
    </row>
    <row r="498" spans="1:9" ht="17.25" thickTop="1" thickBot="1" x14ac:dyDescent="0.25">
      <c r="A498" s="23">
        <v>494</v>
      </c>
      <c r="B498" s="26" t="s">
        <v>546</v>
      </c>
      <c r="C498" s="32" t="s">
        <v>28</v>
      </c>
      <c r="D498" s="23" t="s">
        <v>22</v>
      </c>
      <c r="E498" s="23" t="s">
        <v>65</v>
      </c>
      <c r="F498" s="23">
        <v>14</v>
      </c>
      <c r="G498" s="23" t="s">
        <v>25</v>
      </c>
      <c r="H498" s="23" t="s">
        <v>23</v>
      </c>
      <c r="I498" s="23">
        <f>IFERROR(INDEX('التقسيم Layout'!$J$4:$J$9,MATCH(C498,'التقسيم Layout'!$B$4:$B$9,0)),"")</f>
        <v>175</v>
      </c>
    </row>
    <row r="499" spans="1:9" ht="17.25" thickTop="1" thickBot="1" x14ac:dyDescent="0.25">
      <c r="A499" s="23">
        <v>495</v>
      </c>
      <c r="B499" s="26" t="s">
        <v>547</v>
      </c>
      <c r="C499" s="32" t="s">
        <v>28</v>
      </c>
      <c r="D499" s="23" t="s">
        <v>26</v>
      </c>
      <c r="E499" s="23" t="s">
        <v>67</v>
      </c>
      <c r="F499" s="23">
        <v>14</v>
      </c>
      <c r="G499" s="23" t="s">
        <v>25</v>
      </c>
      <c r="H499" s="23" t="s">
        <v>23</v>
      </c>
      <c r="I499" s="23">
        <f>IFERROR(INDEX('التقسيم Layout'!$J$4:$J$9,MATCH(C499,'التقسيم Layout'!$B$4:$B$9,0)),"")</f>
        <v>175</v>
      </c>
    </row>
    <row r="500" spans="1:9" ht="17.25" thickTop="1" thickBot="1" x14ac:dyDescent="0.25">
      <c r="A500" s="23">
        <v>496</v>
      </c>
      <c r="B500" s="26" t="s">
        <v>548</v>
      </c>
      <c r="C500" s="32" t="s">
        <v>28</v>
      </c>
      <c r="D500" s="23" t="s">
        <v>13</v>
      </c>
      <c r="E500" s="23" t="s">
        <v>59</v>
      </c>
      <c r="F500" s="23">
        <v>15</v>
      </c>
      <c r="G500" s="23" t="s">
        <v>25</v>
      </c>
      <c r="H500" s="23" t="s">
        <v>23</v>
      </c>
      <c r="I500" s="23">
        <f>IFERROR(INDEX('التقسيم Layout'!$J$4:$J$9,MATCH(C500,'التقسيم Layout'!$B$4:$B$9,0)),"")</f>
        <v>175</v>
      </c>
    </row>
    <row r="501" spans="1:9" ht="17.25" thickTop="1" thickBot="1" x14ac:dyDescent="0.25">
      <c r="A501" s="23">
        <v>497</v>
      </c>
      <c r="B501" s="26" t="s">
        <v>549</v>
      </c>
      <c r="C501" s="32" t="s">
        <v>28</v>
      </c>
      <c r="D501" s="23" t="s">
        <v>17</v>
      </c>
      <c r="E501" s="23" t="s">
        <v>61</v>
      </c>
      <c r="F501" s="23">
        <v>15</v>
      </c>
      <c r="G501" s="23" t="s">
        <v>25</v>
      </c>
      <c r="H501" s="23" t="s">
        <v>23</v>
      </c>
      <c r="I501" s="23">
        <f>IFERROR(INDEX('التقسيم Layout'!$J$4:$J$9,MATCH(C501,'التقسيم Layout'!$B$4:$B$9,0)),"")</f>
        <v>175</v>
      </c>
    </row>
    <row r="502" spans="1:9" ht="17.25" thickTop="1" thickBot="1" x14ac:dyDescent="0.25">
      <c r="A502" s="23">
        <v>498</v>
      </c>
      <c r="B502" s="26" t="s">
        <v>550</v>
      </c>
      <c r="C502" s="32" t="s">
        <v>28</v>
      </c>
      <c r="D502" s="23" t="s">
        <v>20</v>
      </c>
      <c r="E502" s="23" t="s">
        <v>63</v>
      </c>
      <c r="F502" s="23">
        <v>15</v>
      </c>
      <c r="G502" s="23" t="s">
        <v>25</v>
      </c>
      <c r="H502" s="23" t="s">
        <v>23</v>
      </c>
      <c r="I502" s="23">
        <f>IFERROR(INDEX('التقسيم Layout'!$J$4:$J$9,MATCH(C502,'التقسيم Layout'!$B$4:$B$9,0)),"")</f>
        <v>175</v>
      </c>
    </row>
    <row r="503" spans="1:9" ht="17.25" thickTop="1" thickBot="1" x14ac:dyDescent="0.25">
      <c r="A503" s="23">
        <v>499</v>
      </c>
      <c r="B503" s="26" t="s">
        <v>551</v>
      </c>
      <c r="C503" s="32" t="s">
        <v>28</v>
      </c>
      <c r="D503" s="23" t="s">
        <v>22</v>
      </c>
      <c r="E503" s="23" t="s">
        <v>65</v>
      </c>
      <c r="F503" s="23">
        <v>15</v>
      </c>
      <c r="G503" s="23" t="s">
        <v>25</v>
      </c>
      <c r="H503" s="23" t="s">
        <v>23</v>
      </c>
      <c r="I503" s="23">
        <f>IFERROR(INDEX('التقسيم Layout'!$J$4:$J$9,MATCH(C503,'التقسيم Layout'!$B$4:$B$9,0)),"")</f>
        <v>175</v>
      </c>
    </row>
    <row r="504" spans="1:9" ht="17.25" thickTop="1" thickBot="1" x14ac:dyDescent="0.25">
      <c r="A504" s="23">
        <v>500</v>
      </c>
      <c r="B504" s="26" t="s">
        <v>552</v>
      </c>
      <c r="C504" s="32" t="s">
        <v>28</v>
      </c>
      <c r="D504" s="23" t="s">
        <v>26</v>
      </c>
      <c r="E504" s="23" t="s">
        <v>67</v>
      </c>
      <c r="F504" s="23">
        <v>15</v>
      </c>
      <c r="G504" s="23" t="s">
        <v>25</v>
      </c>
      <c r="H504" s="23" t="s">
        <v>23</v>
      </c>
      <c r="I504" s="23">
        <f>IFERROR(INDEX('التقسيم Layout'!$J$4:$J$9,MATCH(C504,'التقسيم Layout'!$B$4:$B$9,0)),"")</f>
        <v>175</v>
      </c>
    </row>
    <row r="505" spans="1:9" ht="17.25" thickTop="1" thickBot="1" x14ac:dyDescent="0.25">
      <c r="A505" s="23">
        <v>501</v>
      </c>
      <c r="B505" s="26" t="s">
        <v>553</v>
      </c>
      <c r="C505" s="32" t="s">
        <v>28</v>
      </c>
      <c r="D505" s="23" t="s">
        <v>13</v>
      </c>
      <c r="E505" s="23" t="s">
        <v>59</v>
      </c>
      <c r="F505" s="23">
        <v>16</v>
      </c>
      <c r="G505" s="23" t="s">
        <v>25</v>
      </c>
      <c r="H505" s="23" t="s">
        <v>23</v>
      </c>
      <c r="I505" s="23">
        <f>IFERROR(INDEX('التقسيم Layout'!$J$4:$J$9,MATCH(C505,'التقسيم Layout'!$B$4:$B$9,0)),"")</f>
        <v>175</v>
      </c>
    </row>
    <row r="506" spans="1:9" ht="17.25" thickTop="1" thickBot="1" x14ac:dyDescent="0.25">
      <c r="A506" s="23">
        <v>502</v>
      </c>
      <c r="B506" s="26" t="s">
        <v>554</v>
      </c>
      <c r="C506" s="32" t="s">
        <v>28</v>
      </c>
      <c r="D506" s="23" t="s">
        <v>17</v>
      </c>
      <c r="E506" s="23" t="s">
        <v>61</v>
      </c>
      <c r="F506" s="23">
        <v>16</v>
      </c>
      <c r="G506" s="23" t="s">
        <v>25</v>
      </c>
      <c r="H506" s="23" t="s">
        <v>23</v>
      </c>
      <c r="I506" s="23">
        <f>IFERROR(INDEX('التقسيم Layout'!$J$4:$J$9,MATCH(C506,'التقسيم Layout'!$B$4:$B$9,0)),"")</f>
        <v>175</v>
      </c>
    </row>
    <row r="507" spans="1:9" ht="17.25" thickTop="1" thickBot="1" x14ac:dyDescent="0.25">
      <c r="A507" s="23">
        <v>503</v>
      </c>
      <c r="B507" s="26" t="s">
        <v>555</v>
      </c>
      <c r="C507" s="32" t="s">
        <v>28</v>
      </c>
      <c r="D507" s="23" t="s">
        <v>20</v>
      </c>
      <c r="E507" s="23" t="s">
        <v>63</v>
      </c>
      <c r="F507" s="23">
        <v>16</v>
      </c>
      <c r="G507" s="23" t="s">
        <v>25</v>
      </c>
      <c r="H507" s="23" t="s">
        <v>23</v>
      </c>
      <c r="I507" s="23">
        <f>IFERROR(INDEX('التقسيم Layout'!$J$4:$J$9,MATCH(C507,'التقسيم Layout'!$B$4:$B$9,0)),"")</f>
        <v>175</v>
      </c>
    </row>
    <row r="508" spans="1:9" ht="17.25" thickTop="1" thickBot="1" x14ac:dyDescent="0.25">
      <c r="A508" s="23">
        <v>504</v>
      </c>
      <c r="B508" s="26" t="s">
        <v>556</v>
      </c>
      <c r="C508" s="32" t="s">
        <v>28</v>
      </c>
      <c r="D508" s="23" t="s">
        <v>22</v>
      </c>
      <c r="E508" s="23" t="s">
        <v>65</v>
      </c>
      <c r="F508" s="23">
        <v>16</v>
      </c>
      <c r="G508" s="23" t="s">
        <v>25</v>
      </c>
      <c r="H508" s="23" t="s">
        <v>23</v>
      </c>
      <c r="I508" s="23">
        <f>IFERROR(INDEX('التقسيم Layout'!$J$4:$J$9,MATCH(C508,'التقسيم Layout'!$B$4:$B$9,0)),"")</f>
        <v>175</v>
      </c>
    </row>
    <row r="509" spans="1:9" ht="17.25" thickTop="1" thickBot="1" x14ac:dyDescent="0.25">
      <c r="A509" s="23">
        <v>505</v>
      </c>
      <c r="B509" s="26" t="s">
        <v>557</v>
      </c>
      <c r="C509" s="32" t="s">
        <v>28</v>
      </c>
      <c r="D509" s="23" t="s">
        <v>26</v>
      </c>
      <c r="E509" s="23" t="s">
        <v>67</v>
      </c>
      <c r="F509" s="23">
        <v>16</v>
      </c>
      <c r="G509" s="23" t="s">
        <v>25</v>
      </c>
      <c r="H509" s="23" t="s">
        <v>23</v>
      </c>
      <c r="I509" s="23">
        <f>IFERROR(INDEX('التقسيم Layout'!$J$4:$J$9,MATCH(C509,'التقسيم Layout'!$B$4:$B$9,0)),"")</f>
        <v>175</v>
      </c>
    </row>
    <row r="510" spans="1:9" ht="17.25" thickTop="1" thickBot="1" x14ac:dyDescent="0.25">
      <c r="A510" s="23">
        <v>506</v>
      </c>
      <c r="B510" s="26" t="s">
        <v>558</v>
      </c>
      <c r="C510" s="32" t="s">
        <v>28</v>
      </c>
      <c r="D510" s="23" t="s">
        <v>13</v>
      </c>
      <c r="E510" s="23" t="s">
        <v>59</v>
      </c>
      <c r="F510" s="23">
        <v>17</v>
      </c>
      <c r="G510" s="23" t="s">
        <v>25</v>
      </c>
      <c r="H510" s="23" t="s">
        <v>23</v>
      </c>
      <c r="I510" s="23">
        <f>IFERROR(INDEX('التقسيم Layout'!$J$4:$J$9,MATCH(C510,'التقسيم Layout'!$B$4:$B$9,0)),"")</f>
        <v>175</v>
      </c>
    </row>
    <row r="511" spans="1:9" ht="17.25" thickTop="1" thickBot="1" x14ac:dyDescent="0.25">
      <c r="A511" s="23">
        <v>507</v>
      </c>
      <c r="B511" s="26" t="s">
        <v>559</v>
      </c>
      <c r="C511" s="32" t="s">
        <v>28</v>
      </c>
      <c r="D511" s="23" t="s">
        <v>17</v>
      </c>
      <c r="E511" s="23" t="s">
        <v>61</v>
      </c>
      <c r="F511" s="23">
        <v>17</v>
      </c>
      <c r="G511" s="23" t="s">
        <v>25</v>
      </c>
      <c r="H511" s="23" t="s">
        <v>23</v>
      </c>
      <c r="I511" s="23">
        <f>IFERROR(INDEX('التقسيم Layout'!$J$4:$J$9,MATCH(C511,'التقسيم Layout'!$B$4:$B$9,0)),"")</f>
        <v>175</v>
      </c>
    </row>
    <row r="512" spans="1:9" ht="17.25" thickTop="1" thickBot="1" x14ac:dyDescent="0.25">
      <c r="A512" s="23">
        <v>508</v>
      </c>
      <c r="B512" s="26" t="s">
        <v>560</v>
      </c>
      <c r="C512" s="32" t="s">
        <v>28</v>
      </c>
      <c r="D512" s="23" t="s">
        <v>20</v>
      </c>
      <c r="E512" s="23" t="s">
        <v>63</v>
      </c>
      <c r="F512" s="23">
        <v>17</v>
      </c>
      <c r="G512" s="23" t="s">
        <v>25</v>
      </c>
      <c r="H512" s="23" t="s">
        <v>23</v>
      </c>
      <c r="I512" s="23">
        <f>IFERROR(INDEX('التقسيم Layout'!$J$4:$J$9,MATCH(C512,'التقسيم Layout'!$B$4:$B$9,0)),"")</f>
        <v>175</v>
      </c>
    </row>
    <row r="513" spans="1:9" ht="17.25" thickTop="1" thickBot="1" x14ac:dyDescent="0.25">
      <c r="A513" s="23">
        <v>509</v>
      </c>
      <c r="B513" s="26" t="s">
        <v>561</v>
      </c>
      <c r="C513" s="32" t="s">
        <v>28</v>
      </c>
      <c r="D513" s="23" t="s">
        <v>22</v>
      </c>
      <c r="E513" s="23" t="s">
        <v>65</v>
      </c>
      <c r="F513" s="23">
        <v>17</v>
      </c>
      <c r="G513" s="23" t="s">
        <v>25</v>
      </c>
      <c r="H513" s="23" t="s">
        <v>23</v>
      </c>
      <c r="I513" s="23">
        <f>IFERROR(INDEX('التقسيم Layout'!$J$4:$J$9,MATCH(C513,'التقسيم Layout'!$B$4:$B$9,0)),"")</f>
        <v>175</v>
      </c>
    </row>
    <row r="514" spans="1:9" ht="17.25" thickTop="1" thickBot="1" x14ac:dyDescent="0.25">
      <c r="A514" s="23">
        <v>510</v>
      </c>
      <c r="B514" s="26" t="s">
        <v>562</v>
      </c>
      <c r="C514" s="32" t="s">
        <v>28</v>
      </c>
      <c r="D514" s="23" t="s">
        <v>26</v>
      </c>
      <c r="E514" s="23" t="s">
        <v>67</v>
      </c>
      <c r="F514" s="23">
        <v>17</v>
      </c>
      <c r="G514" s="23" t="s">
        <v>25</v>
      </c>
      <c r="H514" s="23" t="s">
        <v>23</v>
      </c>
      <c r="I514" s="23">
        <f>IFERROR(INDEX('التقسيم Layout'!$J$4:$J$9,MATCH(C514,'التقسيم Layout'!$B$4:$B$9,0)),"")</f>
        <v>175</v>
      </c>
    </row>
    <row r="515" spans="1:9" ht="17.25" thickTop="1" thickBot="1" x14ac:dyDescent="0.25">
      <c r="A515" s="23">
        <v>511</v>
      </c>
      <c r="B515" s="26" t="s">
        <v>563</v>
      </c>
      <c r="C515" s="32" t="s">
        <v>28</v>
      </c>
      <c r="D515" s="23" t="s">
        <v>13</v>
      </c>
      <c r="E515" s="23" t="s">
        <v>59</v>
      </c>
      <c r="F515" s="23">
        <v>18</v>
      </c>
      <c r="G515" s="23" t="s">
        <v>25</v>
      </c>
      <c r="H515" s="23" t="s">
        <v>23</v>
      </c>
      <c r="I515" s="23">
        <f>IFERROR(INDEX('التقسيم Layout'!$J$4:$J$9,MATCH(C515,'التقسيم Layout'!$B$4:$B$9,0)),"")</f>
        <v>175</v>
      </c>
    </row>
    <row r="516" spans="1:9" ht="17.25" thickTop="1" thickBot="1" x14ac:dyDescent="0.25">
      <c r="A516" s="23">
        <v>512</v>
      </c>
      <c r="B516" s="26" t="s">
        <v>564</v>
      </c>
      <c r="C516" s="32" t="s">
        <v>28</v>
      </c>
      <c r="D516" s="23" t="s">
        <v>17</v>
      </c>
      <c r="E516" s="23" t="s">
        <v>61</v>
      </c>
      <c r="F516" s="23">
        <v>18</v>
      </c>
      <c r="G516" s="23" t="s">
        <v>25</v>
      </c>
      <c r="H516" s="23" t="s">
        <v>23</v>
      </c>
      <c r="I516" s="23">
        <f>IFERROR(INDEX('التقسيم Layout'!$J$4:$J$9,MATCH(C516,'التقسيم Layout'!$B$4:$B$9,0)),"")</f>
        <v>175</v>
      </c>
    </row>
    <row r="517" spans="1:9" ht="17.25" thickTop="1" thickBot="1" x14ac:dyDescent="0.25">
      <c r="A517" s="23">
        <v>513</v>
      </c>
      <c r="B517" s="26" t="s">
        <v>565</v>
      </c>
      <c r="C517" s="32" t="s">
        <v>28</v>
      </c>
      <c r="D517" s="23" t="s">
        <v>20</v>
      </c>
      <c r="E517" s="23" t="s">
        <v>63</v>
      </c>
      <c r="F517" s="23">
        <v>18</v>
      </c>
      <c r="G517" s="23" t="s">
        <v>25</v>
      </c>
      <c r="H517" s="23" t="s">
        <v>23</v>
      </c>
      <c r="I517" s="23">
        <f>IFERROR(INDEX('التقسيم Layout'!$J$4:$J$9,MATCH(C517,'التقسيم Layout'!$B$4:$B$9,0)),"")</f>
        <v>175</v>
      </c>
    </row>
    <row r="518" spans="1:9" ht="17.25" thickTop="1" thickBot="1" x14ac:dyDescent="0.25">
      <c r="A518" s="23">
        <v>514</v>
      </c>
      <c r="B518" s="26" t="s">
        <v>566</v>
      </c>
      <c r="C518" s="32" t="s">
        <v>28</v>
      </c>
      <c r="D518" s="23" t="s">
        <v>22</v>
      </c>
      <c r="E518" s="23" t="s">
        <v>65</v>
      </c>
      <c r="F518" s="23">
        <v>18</v>
      </c>
      <c r="G518" s="23" t="s">
        <v>25</v>
      </c>
      <c r="H518" s="23" t="s">
        <v>23</v>
      </c>
      <c r="I518" s="23">
        <f>IFERROR(INDEX('التقسيم Layout'!$J$4:$J$9,MATCH(C518,'التقسيم Layout'!$B$4:$B$9,0)),"")</f>
        <v>175</v>
      </c>
    </row>
    <row r="519" spans="1:9" ht="17.25" thickTop="1" thickBot="1" x14ac:dyDescent="0.25">
      <c r="A519" s="23">
        <v>515</v>
      </c>
      <c r="B519" s="26" t="s">
        <v>567</v>
      </c>
      <c r="C519" s="32" t="s">
        <v>28</v>
      </c>
      <c r="D519" s="23" t="s">
        <v>26</v>
      </c>
      <c r="E519" s="23" t="s">
        <v>67</v>
      </c>
      <c r="F519" s="23">
        <v>18</v>
      </c>
      <c r="G519" s="23" t="s">
        <v>25</v>
      </c>
      <c r="H519" s="23" t="s">
        <v>23</v>
      </c>
      <c r="I519" s="23">
        <f>IFERROR(INDEX('التقسيم Layout'!$J$4:$J$9,MATCH(C519,'التقسيم Layout'!$B$4:$B$9,0)),"")</f>
        <v>175</v>
      </c>
    </row>
    <row r="520" spans="1:9" ht="17.25" thickTop="1" thickBot="1" x14ac:dyDescent="0.25">
      <c r="A520" s="23">
        <v>516</v>
      </c>
      <c r="B520" s="26" t="s">
        <v>568</v>
      </c>
      <c r="C520" s="32" t="s">
        <v>28</v>
      </c>
      <c r="D520" s="23" t="s">
        <v>13</v>
      </c>
      <c r="E520" s="23" t="s">
        <v>59</v>
      </c>
      <c r="F520" s="23">
        <v>19</v>
      </c>
      <c r="G520" s="23" t="s">
        <v>25</v>
      </c>
      <c r="H520" s="23" t="s">
        <v>23</v>
      </c>
      <c r="I520" s="23">
        <f>IFERROR(INDEX('التقسيم Layout'!$J$4:$J$9,MATCH(C520,'التقسيم Layout'!$B$4:$B$9,0)),"")</f>
        <v>175</v>
      </c>
    </row>
    <row r="521" spans="1:9" ht="17.25" thickTop="1" thickBot="1" x14ac:dyDescent="0.25">
      <c r="A521" s="23">
        <v>517</v>
      </c>
      <c r="B521" s="26" t="s">
        <v>569</v>
      </c>
      <c r="C521" s="32" t="s">
        <v>28</v>
      </c>
      <c r="D521" s="23" t="s">
        <v>17</v>
      </c>
      <c r="E521" s="23" t="s">
        <v>61</v>
      </c>
      <c r="F521" s="23">
        <v>19</v>
      </c>
      <c r="G521" s="23" t="s">
        <v>25</v>
      </c>
      <c r="H521" s="23" t="s">
        <v>23</v>
      </c>
      <c r="I521" s="23">
        <f>IFERROR(INDEX('التقسيم Layout'!$J$4:$J$9,MATCH(C521,'التقسيم Layout'!$B$4:$B$9,0)),"")</f>
        <v>175</v>
      </c>
    </row>
    <row r="522" spans="1:9" ht="17.25" thickTop="1" thickBot="1" x14ac:dyDescent="0.25">
      <c r="A522" s="23">
        <v>518</v>
      </c>
      <c r="B522" s="26" t="s">
        <v>570</v>
      </c>
      <c r="C522" s="32" t="s">
        <v>28</v>
      </c>
      <c r="D522" s="23" t="s">
        <v>20</v>
      </c>
      <c r="E522" s="23" t="s">
        <v>63</v>
      </c>
      <c r="F522" s="23">
        <v>19</v>
      </c>
      <c r="G522" s="23" t="s">
        <v>25</v>
      </c>
      <c r="H522" s="23" t="s">
        <v>23</v>
      </c>
      <c r="I522" s="23">
        <f>IFERROR(INDEX('التقسيم Layout'!$J$4:$J$9,MATCH(C522,'التقسيم Layout'!$B$4:$B$9,0)),"")</f>
        <v>175</v>
      </c>
    </row>
    <row r="523" spans="1:9" ht="17.25" thickTop="1" thickBot="1" x14ac:dyDescent="0.25">
      <c r="A523" s="23">
        <v>519</v>
      </c>
      <c r="B523" s="26" t="s">
        <v>571</v>
      </c>
      <c r="C523" s="32" t="s">
        <v>28</v>
      </c>
      <c r="D523" s="23" t="s">
        <v>22</v>
      </c>
      <c r="E523" s="23" t="s">
        <v>65</v>
      </c>
      <c r="F523" s="23">
        <v>19</v>
      </c>
      <c r="G523" s="23" t="s">
        <v>25</v>
      </c>
      <c r="H523" s="23" t="s">
        <v>23</v>
      </c>
      <c r="I523" s="23">
        <f>IFERROR(INDEX('التقسيم Layout'!$J$4:$J$9,MATCH(C523,'التقسيم Layout'!$B$4:$B$9,0)),"")</f>
        <v>175</v>
      </c>
    </row>
    <row r="524" spans="1:9" ht="17.25" thickTop="1" thickBot="1" x14ac:dyDescent="0.25">
      <c r="A524" s="23">
        <v>520</v>
      </c>
      <c r="B524" s="26" t="s">
        <v>572</v>
      </c>
      <c r="C524" s="32" t="s">
        <v>28</v>
      </c>
      <c r="D524" s="23" t="s">
        <v>26</v>
      </c>
      <c r="E524" s="23" t="s">
        <v>67</v>
      </c>
      <c r="F524" s="23">
        <v>19</v>
      </c>
      <c r="G524" s="23" t="s">
        <v>25</v>
      </c>
      <c r="H524" s="23" t="s">
        <v>23</v>
      </c>
      <c r="I524" s="23">
        <f>IFERROR(INDEX('التقسيم Layout'!$J$4:$J$9,MATCH(C524,'التقسيم Layout'!$B$4:$B$9,0)),"")</f>
        <v>175</v>
      </c>
    </row>
    <row r="525" spans="1:9" ht="17.25" thickTop="1" thickBot="1" x14ac:dyDescent="0.25">
      <c r="A525" s="33"/>
      <c r="B525" s="33" t="s">
        <v>30</v>
      </c>
      <c r="C525" s="33">
        <f>COUNTA(B5:B524)</f>
        <v>520</v>
      </c>
      <c r="D525" s="33"/>
      <c r="E525" s="33"/>
      <c r="F525" s="33"/>
      <c r="G525" s="33"/>
      <c r="H525" s="33"/>
      <c r="I525" s="33"/>
    </row>
    <row r="526" spans="1:9" ht="17.25" thickTop="1" thickBot="1" x14ac:dyDescent="0.25">
      <c r="A526" s="23"/>
      <c r="B526" s="23" t="s">
        <v>573</v>
      </c>
      <c r="C526" s="23" t="str">
        <f>IF(C525=SUMPRODUCT('التقسيم Layout'!E4:E9,'التقسيم Layout'!G4:G9),"OK ✔","ERROR")</f>
        <v>OK ✔</v>
      </c>
      <c r="D526" s="23"/>
      <c r="E526" s="23"/>
      <c r="F526" s="23"/>
      <c r="G526" s="23"/>
      <c r="H526" s="23"/>
      <c r="I526" s="23"/>
    </row>
    <row r="527" spans="1:9" ht="15" thickTop="1" x14ac:dyDescent="0.2"/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5"/>
  <sheetViews>
    <sheetView rightToLeft="1" workbookViewId="0">
      <pane ySplit="4" topLeftCell="A5" activePane="bottomLeft" state="frozen"/>
      <selection pane="bottomLeft" activeCell="F4" sqref="F4"/>
    </sheetView>
  </sheetViews>
  <sheetFormatPr defaultRowHeight="14.25" x14ac:dyDescent="0.2"/>
  <cols>
    <col min="1" max="1" width="8" customWidth="1"/>
    <col min="2" max="6" width="9" customWidth="1"/>
    <col min="7" max="7" width="3" customWidth="1"/>
    <col min="8" max="8" width="8" customWidth="1"/>
    <col min="9" max="13" width="9" customWidth="1"/>
    <col min="14" max="14" width="3" customWidth="1"/>
    <col min="15" max="15" width="8" customWidth="1"/>
    <col min="16" max="20" width="9" customWidth="1"/>
    <col min="21" max="21" width="3" customWidth="1"/>
    <col min="22" max="22" width="8" customWidth="1"/>
    <col min="23" max="26" width="9" customWidth="1"/>
    <col min="27" max="27" width="3" customWidth="1"/>
    <col min="28" max="28" width="8" customWidth="1"/>
    <col min="29" max="33" width="9" customWidth="1"/>
    <col min="34" max="34" width="3" customWidth="1"/>
    <col min="35" max="35" width="8" customWidth="1"/>
    <col min="36" max="40" width="9" customWidth="1"/>
    <col min="41" max="41" width="3" customWidth="1"/>
  </cols>
  <sheetData>
    <row r="1" spans="1:40" ht="27.95" customHeight="1" x14ac:dyDescent="0.2">
      <c r="A1" s="3" t="s">
        <v>574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40" ht="15" thickBot="1" x14ac:dyDescent="0.25"/>
    <row r="3" spans="1:40" ht="24.75" customHeight="1" thickTop="1" thickBot="1" x14ac:dyDescent="0.25">
      <c r="A3" s="10" t="s">
        <v>575</v>
      </c>
      <c r="B3" s="11"/>
      <c r="C3" s="11"/>
      <c r="D3" s="11"/>
      <c r="E3" s="11"/>
      <c r="F3" s="11"/>
      <c r="G3" s="12"/>
      <c r="H3" s="13" t="s">
        <v>576</v>
      </c>
      <c r="I3" s="11"/>
      <c r="J3" s="11"/>
      <c r="K3" s="11"/>
      <c r="L3" s="11"/>
      <c r="M3" s="11"/>
      <c r="N3" s="12"/>
      <c r="O3" s="14" t="s">
        <v>577</v>
      </c>
      <c r="P3" s="11"/>
      <c r="Q3" s="11"/>
      <c r="R3" s="11"/>
      <c r="S3" s="11"/>
      <c r="T3" s="11"/>
      <c r="U3" s="12"/>
      <c r="V3" s="15" t="s">
        <v>578</v>
      </c>
      <c r="W3" s="11"/>
      <c r="X3" s="11"/>
      <c r="Y3" s="11"/>
      <c r="Z3" s="11"/>
      <c r="AA3" s="12"/>
      <c r="AB3" s="16" t="s">
        <v>579</v>
      </c>
      <c r="AC3" s="11"/>
      <c r="AD3" s="11"/>
      <c r="AE3" s="11"/>
      <c r="AF3" s="11"/>
      <c r="AG3" s="11"/>
      <c r="AH3" s="12"/>
      <c r="AI3" s="17" t="s">
        <v>580</v>
      </c>
      <c r="AJ3" s="11"/>
      <c r="AK3" s="11"/>
      <c r="AL3" s="11"/>
      <c r="AM3" s="11"/>
      <c r="AN3" s="11"/>
    </row>
    <row r="4" spans="1:40" ht="33" thickTop="1" thickBot="1" x14ac:dyDescent="0.25">
      <c r="A4" s="18" t="s">
        <v>581</v>
      </c>
      <c r="B4" s="18" t="s">
        <v>13</v>
      </c>
      <c r="C4" s="18" t="s">
        <v>17</v>
      </c>
      <c r="D4" s="18" t="s">
        <v>20</v>
      </c>
      <c r="E4" s="18" t="s">
        <v>22</v>
      </c>
      <c r="F4" s="18" t="s">
        <v>26</v>
      </c>
      <c r="G4" s="12"/>
      <c r="H4" s="18" t="s">
        <v>581</v>
      </c>
      <c r="I4" s="18" t="s">
        <v>13</v>
      </c>
      <c r="J4" s="18" t="s">
        <v>17</v>
      </c>
      <c r="K4" s="18" t="s">
        <v>20</v>
      </c>
      <c r="L4" s="18" t="s">
        <v>22</v>
      </c>
      <c r="M4" s="18" t="s">
        <v>26</v>
      </c>
      <c r="N4" s="12"/>
      <c r="O4" s="18" t="s">
        <v>581</v>
      </c>
      <c r="P4" s="18" t="s">
        <v>13</v>
      </c>
      <c r="Q4" s="18" t="s">
        <v>17</v>
      </c>
      <c r="R4" s="18" t="s">
        <v>20</v>
      </c>
      <c r="S4" s="18" t="s">
        <v>22</v>
      </c>
      <c r="T4" s="18" t="s">
        <v>26</v>
      </c>
      <c r="U4" s="12"/>
      <c r="V4" s="18" t="s">
        <v>581</v>
      </c>
      <c r="W4" s="18" t="s">
        <v>13</v>
      </c>
      <c r="X4" s="18" t="s">
        <v>17</v>
      </c>
      <c r="Y4" s="18" t="s">
        <v>20</v>
      </c>
      <c r="Z4" s="18" t="s">
        <v>22</v>
      </c>
      <c r="AA4" s="12"/>
      <c r="AB4" s="18" t="s">
        <v>581</v>
      </c>
      <c r="AC4" s="18" t="s">
        <v>13</v>
      </c>
      <c r="AD4" s="18" t="s">
        <v>17</v>
      </c>
      <c r="AE4" s="18" t="s">
        <v>20</v>
      </c>
      <c r="AF4" s="18" t="s">
        <v>22</v>
      </c>
      <c r="AG4" s="18" t="s">
        <v>26</v>
      </c>
      <c r="AH4" s="12"/>
      <c r="AI4" s="18" t="s">
        <v>581</v>
      </c>
      <c r="AJ4" s="18" t="s">
        <v>13</v>
      </c>
      <c r="AK4" s="18" t="s">
        <v>17</v>
      </c>
      <c r="AL4" s="18" t="s">
        <v>20</v>
      </c>
      <c r="AM4" s="18" t="s">
        <v>22</v>
      </c>
      <c r="AN4" s="18" t="s">
        <v>26</v>
      </c>
    </row>
    <row r="5" spans="1:40" ht="15.75" thickTop="1" thickBot="1" x14ac:dyDescent="0.25">
      <c r="A5" s="19">
        <v>1</v>
      </c>
      <c r="B5" s="20" t="s">
        <v>58</v>
      </c>
      <c r="C5" s="20" t="s">
        <v>60</v>
      </c>
      <c r="D5" s="20" t="s">
        <v>62</v>
      </c>
      <c r="E5" s="20" t="s">
        <v>64</v>
      </c>
      <c r="F5" s="20" t="s">
        <v>66</v>
      </c>
      <c r="G5" s="12"/>
      <c r="H5" s="19">
        <v>1</v>
      </c>
      <c r="I5" s="20" t="s">
        <v>153</v>
      </c>
      <c r="J5" s="20" t="s">
        <v>154</v>
      </c>
      <c r="K5" s="20" t="s">
        <v>155</v>
      </c>
      <c r="L5" s="20" t="s">
        <v>156</v>
      </c>
      <c r="M5" s="20" t="s">
        <v>157</v>
      </c>
      <c r="N5" s="12"/>
      <c r="O5" s="19">
        <v>1</v>
      </c>
      <c r="P5" s="20" t="s">
        <v>248</v>
      </c>
      <c r="Q5" s="20" t="s">
        <v>249</v>
      </c>
      <c r="R5" s="20" t="s">
        <v>250</v>
      </c>
      <c r="S5" s="20" t="s">
        <v>251</v>
      </c>
      <c r="T5" s="20" t="s">
        <v>252</v>
      </c>
      <c r="U5" s="12"/>
      <c r="V5" s="19">
        <v>1</v>
      </c>
      <c r="W5" s="20" t="s">
        <v>318</v>
      </c>
      <c r="X5" s="20" t="s">
        <v>319</v>
      </c>
      <c r="Y5" s="20" t="s">
        <v>320</v>
      </c>
      <c r="Z5" s="20" t="s">
        <v>321</v>
      </c>
      <c r="AA5" s="12"/>
      <c r="AB5" s="19">
        <v>1</v>
      </c>
      <c r="AC5" s="20" t="s">
        <v>378</v>
      </c>
      <c r="AD5" s="20" t="s">
        <v>379</v>
      </c>
      <c r="AE5" s="20" t="s">
        <v>380</v>
      </c>
      <c r="AF5" s="20" t="s">
        <v>381</v>
      </c>
      <c r="AG5" s="20" t="s">
        <v>382</v>
      </c>
      <c r="AH5" s="12"/>
      <c r="AI5" s="19">
        <v>1</v>
      </c>
      <c r="AJ5" s="20" t="s">
        <v>478</v>
      </c>
      <c r="AK5" s="20" t="s">
        <v>479</v>
      </c>
      <c r="AL5" s="20" t="s">
        <v>480</v>
      </c>
      <c r="AM5" s="20" t="s">
        <v>481</v>
      </c>
      <c r="AN5" s="20" t="s">
        <v>482</v>
      </c>
    </row>
    <row r="6" spans="1:40" ht="15.75" thickTop="1" thickBot="1" x14ac:dyDescent="0.25">
      <c r="A6" s="19">
        <v>2</v>
      </c>
      <c r="B6" s="20" t="s">
        <v>68</v>
      </c>
      <c r="C6" s="20" t="s">
        <v>69</v>
      </c>
      <c r="D6" s="20" t="s">
        <v>70</v>
      </c>
      <c r="E6" s="20" t="s">
        <v>71</v>
      </c>
      <c r="F6" s="20" t="s">
        <v>72</v>
      </c>
      <c r="G6" s="12"/>
      <c r="H6" s="19">
        <v>2</v>
      </c>
      <c r="I6" s="20" t="s">
        <v>158</v>
      </c>
      <c r="J6" s="20" t="s">
        <v>159</v>
      </c>
      <c r="K6" s="20" t="s">
        <v>160</v>
      </c>
      <c r="L6" s="20" t="s">
        <v>161</v>
      </c>
      <c r="M6" s="20" t="s">
        <v>162</v>
      </c>
      <c r="N6" s="12"/>
      <c r="O6" s="19">
        <v>2</v>
      </c>
      <c r="P6" s="20" t="s">
        <v>253</v>
      </c>
      <c r="Q6" s="20" t="s">
        <v>254</v>
      </c>
      <c r="R6" s="20" t="s">
        <v>255</v>
      </c>
      <c r="S6" s="20" t="s">
        <v>256</v>
      </c>
      <c r="T6" s="20" t="s">
        <v>257</v>
      </c>
      <c r="U6" s="12"/>
      <c r="V6" s="19">
        <v>2</v>
      </c>
      <c r="W6" s="20" t="s">
        <v>322</v>
      </c>
      <c r="X6" s="20" t="s">
        <v>323</v>
      </c>
      <c r="Y6" s="20" t="s">
        <v>324</v>
      </c>
      <c r="Z6" s="20" t="s">
        <v>325</v>
      </c>
      <c r="AA6" s="12"/>
      <c r="AB6" s="19">
        <v>2</v>
      </c>
      <c r="AC6" s="20" t="s">
        <v>383</v>
      </c>
      <c r="AD6" s="20" t="s">
        <v>384</v>
      </c>
      <c r="AE6" s="20" t="s">
        <v>385</v>
      </c>
      <c r="AF6" s="20" t="s">
        <v>386</v>
      </c>
      <c r="AG6" s="20" t="s">
        <v>387</v>
      </c>
      <c r="AH6" s="12"/>
      <c r="AI6" s="19">
        <v>2</v>
      </c>
      <c r="AJ6" s="20" t="s">
        <v>483</v>
      </c>
      <c r="AK6" s="20" t="s">
        <v>484</v>
      </c>
      <c r="AL6" s="20" t="s">
        <v>485</v>
      </c>
      <c r="AM6" s="20" t="s">
        <v>486</v>
      </c>
      <c r="AN6" s="20" t="s">
        <v>487</v>
      </c>
    </row>
    <row r="7" spans="1:40" ht="15.75" thickTop="1" thickBot="1" x14ac:dyDescent="0.25">
      <c r="A7" s="19">
        <v>3</v>
      </c>
      <c r="B7" s="20" t="s">
        <v>73</v>
      </c>
      <c r="C7" s="20" t="s">
        <v>74</v>
      </c>
      <c r="D7" s="20" t="s">
        <v>75</v>
      </c>
      <c r="E7" s="20" t="s">
        <v>76</v>
      </c>
      <c r="F7" s="20" t="s">
        <v>77</v>
      </c>
      <c r="G7" s="12"/>
      <c r="H7" s="19">
        <v>3</v>
      </c>
      <c r="I7" s="20" t="s">
        <v>163</v>
      </c>
      <c r="J7" s="20" t="s">
        <v>164</v>
      </c>
      <c r="K7" s="20" t="s">
        <v>165</v>
      </c>
      <c r="L7" s="20" t="s">
        <v>166</v>
      </c>
      <c r="M7" s="20" t="s">
        <v>167</v>
      </c>
      <c r="N7" s="12"/>
      <c r="O7" s="19">
        <v>3</v>
      </c>
      <c r="P7" s="20" t="s">
        <v>258</v>
      </c>
      <c r="Q7" s="20" t="s">
        <v>259</v>
      </c>
      <c r="R7" s="20" t="s">
        <v>260</v>
      </c>
      <c r="S7" s="20" t="s">
        <v>261</v>
      </c>
      <c r="T7" s="20" t="s">
        <v>262</v>
      </c>
      <c r="U7" s="12"/>
      <c r="V7" s="19">
        <v>3</v>
      </c>
      <c r="W7" s="20" t="s">
        <v>326</v>
      </c>
      <c r="X7" s="20" t="s">
        <v>327</v>
      </c>
      <c r="Y7" s="20" t="s">
        <v>328</v>
      </c>
      <c r="Z7" s="20" t="s">
        <v>329</v>
      </c>
      <c r="AA7" s="12"/>
      <c r="AB7" s="19">
        <v>3</v>
      </c>
      <c r="AC7" s="20" t="s">
        <v>388</v>
      </c>
      <c r="AD7" s="20" t="s">
        <v>389</v>
      </c>
      <c r="AE7" s="20" t="s">
        <v>390</v>
      </c>
      <c r="AF7" s="20" t="s">
        <v>391</v>
      </c>
      <c r="AG7" s="20" t="s">
        <v>392</v>
      </c>
      <c r="AH7" s="12"/>
      <c r="AI7" s="19">
        <v>3</v>
      </c>
      <c r="AJ7" s="20" t="s">
        <v>488</v>
      </c>
      <c r="AK7" s="20" t="s">
        <v>489</v>
      </c>
      <c r="AL7" s="20" t="s">
        <v>490</v>
      </c>
      <c r="AM7" s="20" t="s">
        <v>491</v>
      </c>
      <c r="AN7" s="20" t="s">
        <v>492</v>
      </c>
    </row>
    <row r="8" spans="1:40" ht="15.75" thickTop="1" thickBot="1" x14ac:dyDescent="0.25">
      <c r="A8" s="19">
        <v>4</v>
      </c>
      <c r="B8" s="20" t="s">
        <v>78</v>
      </c>
      <c r="C8" s="20" t="s">
        <v>79</v>
      </c>
      <c r="D8" s="20" t="s">
        <v>80</v>
      </c>
      <c r="E8" s="20" t="s">
        <v>81</v>
      </c>
      <c r="F8" s="20" t="s">
        <v>82</v>
      </c>
      <c r="G8" s="12"/>
      <c r="H8" s="19">
        <v>4</v>
      </c>
      <c r="I8" s="20" t="s">
        <v>168</v>
      </c>
      <c r="J8" s="20" t="s">
        <v>169</v>
      </c>
      <c r="K8" s="20" t="s">
        <v>170</v>
      </c>
      <c r="L8" s="20" t="s">
        <v>171</v>
      </c>
      <c r="M8" s="20" t="s">
        <v>172</v>
      </c>
      <c r="N8" s="12"/>
      <c r="O8" s="19">
        <v>4</v>
      </c>
      <c r="P8" s="20" t="s">
        <v>263</v>
      </c>
      <c r="Q8" s="20" t="s">
        <v>264</v>
      </c>
      <c r="R8" s="20" t="s">
        <v>265</v>
      </c>
      <c r="S8" s="20" t="s">
        <v>266</v>
      </c>
      <c r="T8" s="20" t="s">
        <v>267</v>
      </c>
      <c r="U8" s="12"/>
      <c r="V8" s="19">
        <v>4</v>
      </c>
      <c r="W8" s="20" t="s">
        <v>330</v>
      </c>
      <c r="X8" s="20" t="s">
        <v>331</v>
      </c>
      <c r="Y8" s="20" t="s">
        <v>332</v>
      </c>
      <c r="Z8" s="20" t="s">
        <v>333</v>
      </c>
      <c r="AA8" s="12"/>
      <c r="AB8" s="19">
        <v>4</v>
      </c>
      <c r="AC8" s="20" t="s">
        <v>393</v>
      </c>
      <c r="AD8" s="20" t="s">
        <v>394</v>
      </c>
      <c r="AE8" s="20" t="s">
        <v>395</v>
      </c>
      <c r="AF8" s="20" t="s">
        <v>396</v>
      </c>
      <c r="AG8" s="20" t="s">
        <v>397</v>
      </c>
      <c r="AH8" s="12"/>
      <c r="AI8" s="19">
        <v>4</v>
      </c>
      <c r="AJ8" s="20" t="s">
        <v>493</v>
      </c>
      <c r="AK8" s="20" t="s">
        <v>494</v>
      </c>
      <c r="AL8" s="20" t="s">
        <v>495</v>
      </c>
      <c r="AM8" s="20" t="s">
        <v>496</v>
      </c>
      <c r="AN8" s="20" t="s">
        <v>497</v>
      </c>
    </row>
    <row r="9" spans="1:40" ht="15.75" thickTop="1" thickBot="1" x14ac:dyDescent="0.25">
      <c r="A9" s="19">
        <v>5</v>
      </c>
      <c r="B9" s="20" t="s">
        <v>83</v>
      </c>
      <c r="C9" s="20" t="s">
        <v>84</v>
      </c>
      <c r="D9" s="20" t="s">
        <v>85</v>
      </c>
      <c r="E9" s="20" t="s">
        <v>86</v>
      </c>
      <c r="F9" s="20" t="s">
        <v>87</v>
      </c>
      <c r="G9" s="12"/>
      <c r="H9" s="19">
        <v>5</v>
      </c>
      <c r="I9" s="20" t="s">
        <v>173</v>
      </c>
      <c r="J9" s="20" t="s">
        <v>174</v>
      </c>
      <c r="K9" s="20" t="s">
        <v>175</v>
      </c>
      <c r="L9" s="20" t="s">
        <v>176</v>
      </c>
      <c r="M9" s="20" t="s">
        <v>177</v>
      </c>
      <c r="N9" s="12"/>
      <c r="O9" s="19">
        <v>5</v>
      </c>
      <c r="P9" s="20" t="s">
        <v>268</v>
      </c>
      <c r="Q9" s="20" t="s">
        <v>269</v>
      </c>
      <c r="R9" s="20" t="s">
        <v>270</v>
      </c>
      <c r="S9" s="20" t="s">
        <v>271</v>
      </c>
      <c r="T9" s="20" t="s">
        <v>272</v>
      </c>
      <c r="U9" s="12"/>
      <c r="V9" s="19">
        <v>5</v>
      </c>
      <c r="W9" s="20" t="s">
        <v>334</v>
      </c>
      <c r="X9" s="20" t="s">
        <v>335</v>
      </c>
      <c r="Y9" s="20" t="s">
        <v>336</v>
      </c>
      <c r="Z9" s="20" t="s">
        <v>337</v>
      </c>
      <c r="AA9" s="12"/>
      <c r="AB9" s="19">
        <v>5</v>
      </c>
      <c r="AC9" s="20" t="s">
        <v>398</v>
      </c>
      <c r="AD9" s="20" t="s">
        <v>399</v>
      </c>
      <c r="AE9" s="20" t="s">
        <v>400</v>
      </c>
      <c r="AF9" s="20" t="s">
        <v>401</v>
      </c>
      <c r="AG9" s="20" t="s">
        <v>402</v>
      </c>
      <c r="AH9" s="12"/>
      <c r="AI9" s="19">
        <v>5</v>
      </c>
      <c r="AJ9" s="20" t="s">
        <v>498</v>
      </c>
      <c r="AK9" s="20" t="s">
        <v>499</v>
      </c>
      <c r="AL9" s="20" t="s">
        <v>500</v>
      </c>
      <c r="AM9" s="20" t="s">
        <v>501</v>
      </c>
      <c r="AN9" s="20" t="s">
        <v>502</v>
      </c>
    </row>
    <row r="10" spans="1:40" ht="15.75" thickTop="1" thickBot="1" x14ac:dyDescent="0.25">
      <c r="A10" s="19">
        <v>6</v>
      </c>
      <c r="B10" s="20" t="s">
        <v>88</v>
      </c>
      <c r="C10" s="20" t="s">
        <v>89</v>
      </c>
      <c r="D10" s="20" t="s">
        <v>90</v>
      </c>
      <c r="E10" s="20" t="s">
        <v>91</v>
      </c>
      <c r="F10" s="20" t="s">
        <v>92</v>
      </c>
      <c r="G10" s="12"/>
      <c r="H10" s="19">
        <v>6</v>
      </c>
      <c r="I10" s="20" t="s">
        <v>178</v>
      </c>
      <c r="J10" s="20" t="s">
        <v>179</v>
      </c>
      <c r="K10" s="20" t="s">
        <v>180</v>
      </c>
      <c r="L10" s="20" t="s">
        <v>181</v>
      </c>
      <c r="M10" s="20" t="s">
        <v>182</v>
      </c>
      <c r="N10" s="12"/>
      <c r="O10" s="19">
        <v>6</v>
      </c>
      <c r="P10" s="20" t="s">
        <v>273</v>
      </c>
      <c r="Q10" s="20" t="s">
        <v>274</v>
      </c>
      <c r="R10" s="20" t="s">
        <v>275</v>
      </c>
      <c r="S10" s="20" t="s">
        <v>276</v>
      </c>
      <c r="T10" s="20" t="s">
        <v>277</v>
      </c>
      <c r="U10" s="12"/>
      <c r="V10" s="19">
        <v>6</v>
      </c>
      <c r="W10" s="20" t="s">
        <v>338</v>
      </c>
      <c r="X10" s="20" t="s">
        <v>339</v>
      </c>
      <c r="Y10" s="20" t="s">
        <v>340</v>
      </c>
      <c r="Z10" s="20" t="s">
        <v>341</v>
      </c>
      <c r="AA10" s="12"/>
      <c r="AB10" s="19">
        <v>6</v>
      </c>
      <c r="AC10" s="20" t="s">
        <v>403</v>
      </c>
      <c r="AD10" s="20" t="s">
        <v>404</v>
      </c>
      <c r="AE10" s="20" t="s">
        <v>405</v>
      </c>
      <c r="AF10" s="20" t="s">
        <v>406</v>
      </c>
      <c r="AG10" s="20" t="s">
        <v>407</v>
      </c>
      <c r="AH10" s="12"/>
      <c r="AI10" s="19">
        <v>6</v>
      </c>
      <c r="AJ10" s="20" t="s">
        <v>503</v>
      </c>
      <c r="AK10" s="20" t="s">
        <v>504</v>
      </c>
      <c r="AL10" s="20" t="s">
        <v>505</v>
      </c>
      <c r="AM10" s="20" t="s">
        <v>506</v>
      </c>
      <c r="AN10" s="20" t="s">
        <v>507</v>
      </c>
    </row>
    <row r="11" spans="1:40" ht="15.75" thickTop="1" thickBot="1" x14ac:dyDescent="0.25">
      <c r="A11" s="19">
        <v>7</v>
      </c>
      <c r="B11" s="20" t="s">
        <v>93</v>
      </c>
      <c r="C11" s="20" t="s">
        <v>94</v>
      </c>
      <c r="D11" s="20" t="s">
        <v>95</v>
      </c>
      <c r="E11" s="20" t="s">
        <v>96</v>
      </c>
      <c r="F11" s="20" t="s">
        <v>97</v>
      </c>
      <c r="G11" s="12"/>
      <c r="H11" s="19">
        <v>7</v>
      </c>
      <c r="I11" s="20" t="s">
        <v>183</v>
      </c>
      <c r="J11" s="20" t="s">
        <v>184</v>
      </c>
      <c r="K11" s="20" t="s">
        <v>185</v>
      </c>
      <c r="L11" s="20" t="s">
        <v>186</v>
      </c>
      <c r="M11" s="20" t="s">
        <v>187</v>
      </c>
      <c r="N11" s="12"/>
      <c r="O11" s="19">
        <v>7</v>
      </c>
      <c r="P11" s="20" t="s">
        <v>278</v>
      </c>
      <c r="Q11" s="20" t="s">
        <v>279</v>
      </c>
      <c r="R11" s="20" t="s">
        <v>280</v>
      </c>
      <c r="S11" s="20" t="s">
        <v>281</v>
      </c>
      <c r="T11" s="20" t="s">
        <v>282</v>
      </c>
      <c r="U11" s="12"/>
      <c r="V11" s="19">
        <v>7</v>
      </c>
      <c r="W11" s="20" t="s">
        <v>342</v>
      </c>
      <c r="X11" s="20" t="s">
        <v>343</v>
      </c>
      <c r="Y11" s="20" t="s">
        <v>344</v>
      </c>
      <c r="Z11" s="20" t="s">
        <v>345</v>
      </c>
      <c r="AA11" s="12"/>
      <c r="AB11" s="19">
        <v>7</v>
      </c>
      <c r="AC11" s="20" t="s">
        <v>408</v>
      </c>
      <c r="AD11" s="20" t="s">
        <v>409</v>
      </c>
      <c r="AE11" s="20" t="s">
        <v>410</v>
      </c>
      <c r="AF11" s="20" t="s">
        <v>411</v>
      </c>
      <c r="AG11" s="20" t="s">
        <v>412</v>
      </c>
      <c r="AH11" s="12"/>
      <c r="AI11" s="19">
        <v>7</v>
      </c>
      <c r="AJ11" s="20" t="s">
        <v>508</v>
      </c>
      <c r="AK11" s="20" t="s">
        <v>509</v>
      </c>
      <c r="AL11" s="20" t="s">
        <v>510</v>
      </c>
      <c r="AM11" s="20" t="s">
        <v>511</v>
      </c>
      <c r="AN11" s="20" t="s">
        <v>512</v>
      </c>
    </row>
    <row r="12" spans="1:40" ht="15.75" thickTop="1" thickBot="1" x14ac:dyDescent="0.25">
      <c r="A12" s="19">
        <v>8</v>
      </c>
      <c r="B12" s="20" t="s">
        <v>98</v>
      </c>
      <c r="C12" s="20" t="s">
        <v>99</v>
      </c>
      <c r="D12" s="20" t="s">
        <v>100</v>
      </c>
      <c r="E12" s="20" t="s">
        <v>101</v>
      </c>
      <c r="F12" s="20" t="s">
        <v>102</v>
      </c>
      <c r="G12" s="12"/>
      <c r="H12" s="19">
        <v>8</v>
      </c>
      <c r="I12" s="20" t="s">
        <v>188</v>
      </c>
      <c r="J12" s="20" t="s">
        <v>189</v>
      </c>
      <c r="K12" s="20" t="s">
        <v>190</v>
      </c>
      <c r="L12" s="20" t="s">
        <v>191</v>
      </c>
      <c r="M12" s="20" t="s">
        <v>192</v>
      </c>
      <c r="N12" s="12"/>
      <c r="O12" s="19">
        <v>8</v>
      </c>
      <c r="P12" s="20" t="s">
        <v>283</v>
      </c>
      <c r="Q12" s="20" t="s">
        <v>284</v>
      </c>
      <c r="R12" s="20" t="s">
        <v>285</v>
      </c>
      <c r="S12" s="20" t="s">
        <v>286</v>
      </c>
      <c r="T12" s="20" t="s">
        <v>287</v>
      </c>
      <c r="U12" s="12"/>
      <c r="V12" s="19">
        <v>8</v>
      </c>
      <c r="W12" s="20" t="s">
        <v>346</v>
      </c>
      <c r="X12" s="20" t="s">
        <v>347</v>
      </c>
      <c r="Y12" s="20" t="s">
        <v>348</v>
      </c>
      <c r="Z12" s="20" t="s">
        <v>349</v>
      </c>
      <c r="AA12" s="12"/>
      <c r="AB12" s="19">
        <v>8</v>
      </c>
      <c r="AC12" s="20" t="s">
        <v>413</v>
      </c>
      <c r="AD12" s="20" t="s">
        <v>414</v>
      </c>
      <c r="AE12" s="20" t="s">
        <v>415</v>
      </c>
      <c r="AF12" s="20" t="s">
        <v>416</v>
      </c>
      <c r="AG12" s="20" t="s">
        <v>417</v>
      </c>
      <c r="AH12" s="12"/>
      <c r="AI12" s="19">
        <v>8</v>
      </c>
      <c r="AJ12" s="20" t="s">
        <v>513</v>
      </c>
      <c r="AK12" s="20" t="s">
        <v>514</v>
      </c>
      <c r="AL12" s="20" t="s">
        <v>515</v>
      </c>
      <c r="AM12" s="20" t="s">
        <v>516</v>
      </c>
      <c r="AN12" s="20" t="s">
        <v>517</v>
      </c>
    </row>
    <row r="13" spans="1:40" ht="15.75" thickTop="1" thickBot="1" x14ac:dyDescent="0.25">
      <c r="A13" s="19">
        <v>9</v>
      </c>
      <c r="B13" s="20" t="s">
        <v>103</v>
      </c>
      <c r="C13" s="20" t="s">
        <v>104</v>
      </c>
      <c r="D13" s="20" t="s">
        <v>105</v>
      </c>
      <c r="E13" s="20" t="s">
        <v>106</v>
      </c>
      <c r="F13" s="20" t="s">
        <v>107</v>
      </c>
      <c r="G13" s="12"/>
      <c r="H13" s="19">
        <v>9</v>
      </c>
      <c r="I13" s="20" t="s">
        <v>193</v>
      </c>
      <c r="J13" s="20" t="s">
        <v>194</v>
      </c>
      <c r="K13" s="20" t="s">
        <v>195</v>
      </c>
      <c r="L13" s="20" t="s">
        <v>196</v>
      </c>
      <c r="M13" s="20" t="s">
        <v>197</v>
      </c>
      <c r="N13" s="12"/>
      <c r="O13" s="19">
        <v>9</v>
      </c>
      <c r="P13" s="20" t="s">
        <v>288</v>
      </c>
      <c r="Q13" s="20" t="s">
        <v>289</v>
      </c>
      <c r="R13" s="20" t="s">
        <v>290</v>
      </c>
      <c r="S13" s="20" t="s">
        <v>291</v>
      </c>
      <c r="T13" s="20" t="s">
        <v>292</v>
      </c>
      <c r="U13" s="12"/>
      <c r="V13" s="19">
        <v>9</v>
      </c>
      <c r="W13" s="20" t="s">
        <v>350</v>
      </c>
      <c r="X13" s="20" t="s">
        <v>351</v>
      </c>
      <c r="Y13" s="20" t="s">
        <v>352</v>
      </c>
      <c r="Z13" s="20" t="s">
        <v>353</v>
      </c>
      <c r="AA13" s="12"/>
      <c r="AB13" s="19">
        <v>9</v>
      </c>
      <c r="AC13" s="20" t="s">
        <v>418</v>
      </c>
      <c r="AD13" s="20" t="s">
        <v>419</v>
      </c>
      <c r="AE13" s="20" t="s">
        <v>420</v>
      </c>
      <c r="AF13" s="20" t="s">
        <v>421</v>
      </c>
      <c r="AG13" s="20" t="s">
        <v>422</v>
      </c>
      <c r="AH13" s="12"/>
      <c r="AI13" s="19">
        <v>9</v>
      </c>
      <c r="AJ13" s="20" t="s">
        <v>518</v>
      </c>
      <c r="AK13" s="20" t="s">
        <v>519</v>
      </c>
      <c r="AL13" s="20" t="s">
        <v>520</v>
      </c>
      <c r="AM13" s="20" t="s">
        <v>521</v>
      </c>
      <c r="AN13" s="20" t="s">
        <v>522</v>
      </c>
    </row>
    <row r="14" spans="1:40" ht="15.75" thickTop="1" thickBot="1" x14ac:dyDescent="0.25">
      <c r="A14" s="19">
        <v>10</v>
      </c>
      <c r="B14" s="20" t="s">
        <v>108</v>
      </c>
      <c r="C14" s="20" t="s">
        <v>109</v>
      </c>
      <c r="D14" s="20" t="s">
        <v>110</v>
      </c>
      <c r="E14" s="20" t="s">
        <v>111</v>
      </c>
      <c r="F14" s="20" t="s">
        <v>112</v>
      </c>
      <c r="G14" s="12"/>
      <c r="H14" s="19">
        <v>10</v>
      </c>
      <c r="I14" s="20" t="s">
        <v>198</v>
      </c>
      <c r="J14" s="20" t="s">
        <v>199</v>
      </c>
      <c r="K14" s="20" t="s">
        <v>200</v>
      </c>
      <c r="L14" s="20" t="s">
        <v>201</v>
      </c>
      <c r="M14" s="20" t="s">
        <v>202</v>
      </c>
      <c r="N14" s="12"/>
      <c r="O14" s="19">
        <v>10</v>
      </c>
      <c r="P14" s="20" t="s">
        <v>293</v>
      </c>
      <c r="Q14" s="20" t="s">
        <v>294</v>
      </c>
      <c r="R14" s="20" t="s">
        <v>295</v>
      </c>
      <c r="S14" s="20" t="s">
        <v>296</v>
      </c>
      <c r="T14" s="20" t="s">
        <v>297</v>
      </c>
      <c r="U14" s="12"/>
      <c r="V14" s="19">
        <v>10</v>
      </c>
      <c r="W14" s="20" t="s">
        <v>354</v>
      </c>
      <c r="X14" s="20" t="s">
        <v>355</v>
      </c>
      <c r="Y14" s="20" t="s">
        <v>356</v>
      </c>
      <c r="Z14" s="20" t="s">
        <v>357</v>
      </c>
      <c r="AA14" s="12"/>
      <c r="AB14" s="19">
        <v>10</v>
      </c>
      <c r="AC14" s="20" t="s">
        <v>423</v>
      </c>
      <c r="AD14" s="20" t="s">
        <v>424</v>
      </c>
      <c r="AE14" s="20" t="s">
        <v>425</v>
      </c>
      <c r="AF14" s="20" t="s">
        <v>426</v>
      </c>
      <c r="AG14" s="20" t="s">
        <v>427</v>
      </c>
      <c r="AH14" s="12"/>
      <c r="AI14" s="19">
        <v>10</v>
      </c>
      <c r="AJ14" s="20" t="s">
        <v>523</v>
      </c>
      <c r="AK14" s="20" t="s">
        <v>524</v>
      </c>
      <c r="AL14" s="20" t="s">
        <v>525</v>
      </c>
      <c r="AM14" s="20" t="s">
        <v>526</v>
      </c>
      <c r="AN14" s="20" t="s">
        <v>527</v>
      </c>
    </row>
    <row r="15" spans="1:40" ht="15.75" thickTop="1" thickBot="1" x14ac:dyDescent="0.25">
      <c r="A15" s="19">
        <v>11</v>
      </c>
      <c r="B15" s="20" t="s">
        <v>113</v>
      </c>
      <c r="C15" s="20" t="s">
        <v>114</v>
      </c>
      <c r="D15" s="20" t="s">
        <v>115</v>
      </c>
      <c r="E15" s="20" t="s">
        <v>116</v>
      </c>
      <c r="F15" s="20" t="s">
        <v>117</v>
      </c>
      <c r="G15" s="12"/>
      <c r="H15" s="19">
        <v>11</v>
      </c>
      <c r="I15" s="20" t="s">
        <v>203</v>
      </c>
      <c r="J15" s="20" t="s">
        <v>204</v>
      </c>
      <c r="K15" s="20" t="s">
        <v>205</v>
      </c>
      <c r="L15" s="20" t="s">
        <v>206</v>
      </c>
      <c r="M15" s="20" t="s">
        <v>207</v>
      </c>
      <c r="N15" s="12"/>
      <c r="O15" s="19">
        <v>11</v>
      </c>
      <c r="P15" s="20" t="s">
        <v>298</v>
      </c>
      <c r="Q15" s="20" t="s">
        <v>299</v>
      </c>
      <c r="R15" s="20" t="s">
        <v>300</v>
      </c>
      <c r="S15" s="20" t="s">
        <v>301</v>
      </c>
      <c r="T15" s="20" t="s">
        <v>302</v>
      </c>
      <c r="U15" s="12"/>
      <c r="V15" s="19">
        <v>11</v>
      </c>
      <c r="W15" s="20" t="s">
        <v>358</v>
      </c>
      <c r="X15" s="20" t="s">
        <v>359</v>
      </c>
      <c r="Y15" s="20" t="s">
        <v>360</v>
      </c>
      <c r="Z15" s="20" t="s">
        <v>361</v>
      </c>
      <c r="AA15" s="12"/>
      <c r="AB15" s="19">
        <v>11</v>
      </c>
      <c r="AC15" s="20" t="s">
        <v>428</v>
      </c>
      <c r="AD15" s="20" t="s">
        <v>429</v>
      </c>
      <c r="AE15" s="20" t="s">
        <v>430</v>
      </c>
      <c r="AF15" s="20" t="s">
        <v>431</v>
      </c>
      <c r="AG15" s="20" t="s">
        <v>432</v>
      </c>
      <c r="AH15" s="12"/>
      <c r="AI15" s="19">
        <v>11</v>
      </c>
      <c r="AJ15" s="20" t="s">
        <v>528</v>
      </c>
      <c r="AK15" s="20" t="s">
        <v>529</v>
      </c>
      <c r="AL15" s="20" t="s">
        <v>530</v>
      </c>
      <c r="AM15" s="20" t="s">
        <v>531</v>
      </c>
      <c r="AN15" s="20" t="s">
        <v>532</v>
      </c>
    </row>
    <row r="16" spans="1:40" ht="15.75" thickTop="1" thickBot="1" x14ac:dyDescent="0.25">
      <c r="A16" s="19">
        <v>12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12"/>
      <c r="H16" s="19">
        <v>12</v>
      </c>
      <c r="I16" s="20" t="s">
        <v>208</v>
      </c>
      <c r="J16" s="20" t="s">
        <v>209</v>
      </c>
      <c r="K16" s="20" t="s">
        <v>210</v>
      </c>
      <c r="L16" s="20" t="s">
        <v>211</v>
      </c>
      <c r="M16" s="20" t="s">
        <v>212</v>
      </c>
      <c r="N16" s="12"/>
      <c r="O16" s="19">
        <v>12</v>
      </c>
      <c r="P16" s="20" t="s">
        <v>303</v>
      </c>
      <c r="Q16" s="20" t="s">
        <v>304</v>
      </c>
      <c r="R16" s="20" t="s">
        <v>305</v>
      </c>
      <c r="S16" s="20" t="s">
        <v>306</v>
      </c>
      <c r="T16" s="20" t="s">
        <v>307</v>
      </c>
      <c r="U16" s="12"/>
      <c r="V16" s="19">
        <v>12</v>
      </c>
      <c r="W16" s="20" t="s">
        <v>362</v>
      </c>
      <c r="X16" s="20" t="s">
        <v>363</v>
      </c>
      <c r="Y16" s="20" t="s">
        <v>364</v>
      </c>
      <c r="Z16" s="20" t="s">
        <v>365</v>
      </c>
      <c r="AA16" s="12"/>
      <c r="AB16" s="19">
        <v>12</v>
      </c>
      <c r="AC16" s="20" t="s">
        <v>433</v>
      </c>
      <c r="AD16" s="20" t="s">
        <v>434</v>
      </c>
      <c r="AE16" s="20" t="s">
        <v>435</v>
      </c>
      <c r="AF16" s="20" t="s">
        <v>436</v>
      </c>
      <c r="AG16" s="20" t="s">
        <v>437</v>
      </c>
      <c r="AH16" s="12"/>
      <c r="AI16" s="19">
        <v>12</v>
      </c>
      <c r="AJ16" s="20" t="s">
        <v>533</v>
      </c>
      <c r="AK16" s="20" t="s">
        <v>534</v>
      </c>
      <c r="AL16" s="20" t="s">
        <v>535</v>
      </c>
      <c r="AM16" s="20" t="s">
        <v>536</v>
      </c>
      <c r="AN16" s="20" t="s">
        <v>537</v>
      </c>
    </row>
    <row r="17" spans="1:40" ht="15.75" thickTop="1" thickBot="1" x14ac:dyDescent="0.25">
      <c r="A17" s="19">
        <v>13</v>
      </c>
      <c r="B17" s="20" t="s">
        <v>123</v>
      </c>
      <c r="C17" s="20" t="s">
        <v>124</v>
      </c>
      <c r="D17" s="20" t="s">
        <v>125</v>
      </c>
      <c r="E17" s="20" t="s">
        <v>126</v>
      </c>
      <c r="F17" s="20" t="s">
        <v>127</v>
      </c>
      <c r="G17" s="12"/>
      <c r="H17" s="19">
        <v>13</v>
      </c>
      <c r="I17" s="20" t="s">
        <v>213</v>
      </c>
      <c r="J17" s="20" t="s">
        <v>214</v>
      </c>
      <c r="K17" s="20" t="s">
        <v>215</v>
      </c>
      <c r="L17" s="20" t="s">
        <v>216</v>
      </c>
      <c r="M17" s="20" t="s">
        <v>217</v>
      </c>
      <c r="N17" s="12"/>
      <c r="O17" s="19">
        <v>13</v>
      </c>
      <c r="P17" s="20" t="s">
        <v>308</v>
      </c>
      <c r="Q17" s="20" t="s">
        <v>309</v>
      </c>
      <c r="R17" s="20" t="s">
        <v>310</v>
      </c>
      <c r="S17" s="20" t="s">
        <v>311</v>
      </c>
      <c r="T17" s="20" t="s">
        <v>312</v>
      </c>
      <c r="U17" s="12"/>
      <c r="V17" s="19">
        <v>13</v>
      </c>
      <c r="W17" s="20" t="s">
        <v>366</v>
      </c>
      <c r="X17" s="20" t="s">
        <v>367</v>
      </c>
      <c r="Y17" s="20" t="s">
        <v>368</v>
      </c>
      <c r="Z17" s="20" t="s">
        <v>369</v>
      </c>
      <c r="AA17" s="12"/>
      <c r="AB17" s="19">
        <v>13</v>
      </c>
      <c r="AC17" s="20" t="s">
        <v>438</v>
      </c>
      <c r="AD17" s="20" t="s">
        <v>439</v>
      </c>
      <c r="AE17" s="20" t="s">
        <v>440</v>
      </c>
      <c r="AF17" s="20" t="s">
        <v>441</v>
      </c>
      <c r="AG17" s="20" t="s">
        <v>442</v>
      </c>
      <c r="AH17" s="12"/>
      <c r="AI17" s="19">
        <v>13</v>
      </c>
      <c r="AJ17" s="20" t="s">
        <v>538</v>
      </c>
      <c r="AK17" s="20" t="s">
        <v>539</v>
      </c>
      <c r="AL17" s="20" t="s">
        <v>540</v>
      </c>
      <c r="AM17" s="20" t="s">
        <v>541</v>
      </c>
      <c r="AN17" s="20" t="s">
        <v>542</v>
      </c>
    </row>
    <row r="18" spans="1:40" ht="15.75" thickTop="1" thickBot="1" x14ac:dyDescent="0.25">
      <c r="A18" s="19">
        <v>14</v>
      </c>
      <c r="B18" s="20" t="s">
        <v>128</v>
      </c>
      <c r="C18" s="20" t="s">
        <v>129</v>
      </c>
      <c r="D18" s="20" t="s">
        <v>130</v>
      </c>
      <c r="E18" s="20" t="s">
        <v>131</v>
      </c>
      <c r="F18" s="20" t="s">
        <v>132</v>
      </c>
      <c r="G18" s="12"/>
      <c r="H18" s="19">
        <v>14</v>
      </c>
      <c r="I18" s="20" t="s">
        <v>218</v>
      </c>
      <c r="J18" s="20" t="s">
        <v>219</v>
      </c>
      <c r="K18" s="20" t="s">
        <v>220</v>
      </c>
      <c r="L18" s="20" t="s">
        <v>221</v>
      </c>
      <c r="M18" s="20" t="s">
        <v>222</v>
      </c>
      <c r="N18" s="12"/>
      <c r="O18" s="19">
        <v>14</v>
      </c>
      <c r="P18" s="20" t="s">
        <v>313</v>
      </c>
      <c r="Q18" s="20" t="s">
        <v>314</v>
      </c>
      <c r="R18" s="20" t="s">
        <v>315</v>
      </c>
      <c r="S18" s="20" t="s">
        <v>316</v>
      </c>
      <c r="T18" s="20" t="s">
        <v>317</v>
      </c>
      <c r="U18" s="12"/>
      <c r="V18" s="19">
        <v>14</v>
      </c>
      <c r="W18" s="20" t="s">
        <v>370</v>
      </c>
      <c r="X18" s="20" t="s">
        <v>371</v>
      </c>
      <c r="Y18" s="20" t="s">
        <v>372</v>
      </c>
      <c r="Z18" s="20" t="s">
        <v>373</v>
      </c>
      <c r="AA18" s="12"/>
      <c r="AB18" s="19">
        <v>14</v>
      </c>
      <c r="AC18" s="20" t="s">
        <v>443</v>
      </c>
      <c r="AD18" s="20" t="s">
        <v>444</v>
      </c>
      <c r="AE18" s="20" t="s">
        <v>445</v>
      </c>
      <c r="AF18" s="20" t="s">
        <v>446</v>
      </c>
      <c r="AG18" s="20" t="s">
        <v>447</v>
      </c>
      <c r="AH18" s="12"/>
      <c r="AI18" s="19">
        <v>14</v>
      </c>
      <c r="AJ18" s="20" t="s">
        <v>543</v>
      </c>
      <c r="AK18" s="20" t="s">
        <v>544</v>
      </c>
      <c r="AL18" s="20" t="s">
        <v>545</v>
      </c>
      <c r="AM18" s="20" t="s">
        <v>546</v>
      </c>
      <c r="AN18" s="20" t="s">
        <v>547</v>
      </c>
    </row>
    <row r="19" spans="1:40" ht="15.75" thickTop="1" thickBot="1" x14ac:dyDescent="0.25">
      <c r="A19" s="19">
        <v>15</v>
      </c>
      <c r="B19" s="20" t="s">
        <v>133</v>
      </c>
      <c r="C19" s="20" t="s">
        <v>134</v>
      </c>
      <c r="D19" s="20" t="s">
        <v>135</v>
      </c>
      <c r="E19" s="20" t="s">
        <v>136</v>
      </c>
      <c r="F19" s="20" t="s">
        <v>137</v>
      </c>
      <c r="G19" s="12"/>
      <c r="H19" s="19">
        <v>15</v>
      </c>
      <c r="I19" s="20" t="s">
        <v>223</v>
      </c>
      <c r="J19" s="20" t="s">
        <v>224</v>
      </c>
      <c r="K19" s="20" t="s">
        <v>225</v>
      </c>
      <c r="L19" s="20" t="s">
        <v>226</v>
      </c>
      <c r="M19" s="20" t="s">
        <v>227</v>
      </c>
      <c r="N19" s="12"/>
      <c r="O19" s="19">
        <v>15</v>
      </c>
      <c r="P19" s="20" t="s">
        <v>622</v>
      </c>
      <c r="Q19" s="20" t="s">
        <v>623</v>
      </c>
      <c r="R19" s="20" t="s">
        <v>624</v>
      </c>
      <c r="S19" s="20" t="s">
        <v>625</v>
      </c>
      <c r="T19" s="20" t="s">
        <v>626</v>
      </c>
      <c r="U19" s="12"/>
      <c r="V19" s="19">
        <v>15</v>
      </c>
      <c r="W19" s="20" t="s">
        <v>374</v>
      </c>
      <c r="X19" s="20" t="s">
        <v>375</v>
      </c>
      <c r="Y19" s="20" t="s">
        <v>376</v>
      </c>
      <c r="Z19" s="20" t="s">
        <v>377</v>
      </c>
      <c r="AA19" s="12"/>
      <c r="AB19" s="19">
        <v>15</v>
      </c>
      <c r="AC19" s="20" t="s">
        <v>448</v>
      </c>
      <c r="AD19" s="20" t="s">
        <v>449</v>
      </c>
      <c r="AE19" s="20" t="s">
        <v>450</v>
      </c>
      <c r="AF19" s="20" t="s">
        <v>451</v>
      </c>
      <c r="AG19" s="20" t="s">
        <v>452</v>
      </c>
      <c r="AH19" s="12"/>
      <c r="AI19" s="19">
        <v>15</v>
      </c>
      <c r="AJ19" s="20" t="s">
        <v>548</v>
      </c>
      <c r="AK19" s="20" t="s">
        <v>549</v>
      </c>
      <c r="AL19" s="20" t="s">
        <v>550</v>
      </c>
      <c r="AM19" s="20" t="s">
        <v>551</v>
      </c>
      <c r="AN19" s="20" t="s">
        <v>552</v>
      </c>
    </row>
    <row r="20" spans="1:40" ht="15.75" thickTop="1" thickBot="1" x14ac:dyDescent="0.25">
      <c r="A20" s="19">
        <v>16</v>
      </c>
      <c r="B20" s="20" t="s">
        <v>138</v>
      </c>
      <c r="C20" s="20" t="s">
        <v>139</v>
      </c>
      <c r="D20" s="20" t="s">
        <v>140</v>
      </c>
      <c r="E20" s="20" t="s">
        <v>141</v>
      </c>
      <c r="F20" s="20" t="s">
        <v>142</v>
      </c>
      <c r="G20" s="12"/>
      <c r="H20" s="19">
        <v>16</v>
      </c>
      <c r="I20" s="20" t="s">
        <v>228</v>
      </c>
      <c r="J20" s="20" t="s">
        <v>229</v>
      </c>
      <c r="K20" s="20" t="s">
        <v>230</v>
      </c>
      <c r="L20" s="20" t="s">
        <v>231</v>
      </c>
      <c r="M20" s="20" t="s">
        <v>232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9">
        <v>16</v>
      </c>
      <c r="AC20" s="20" t="s">
        <v>453</v>
      </c>
      <c r="AD20" s="20" t="s">
        <v>454</v>
      </c>
      <c r="AE20" s="20" t="s">
        <v>455</v>
      </c>
      <c r="AF20" s="20" t="s">
        <v>456</v>
      </c>
      <c r="AG20" s="20" t="s">
        <v>457</v>
      </c>
      <c r="AH20" s="12"/>
      <c r="AI20" s="19">
        <v>16</v>
      </c>
      <c r="AJ20" s="20" t="s">
        <v>553</v>
      </c>
      <c r="AK20" s="20" t="s">
        <v>554</v>
      </c>
      <c r="AL20" s="20" t="s">
        <v>555</v>
      </c>
      <c r="AM20" s="20" t="s">
        <v>556</v>
      </c>
      <c r="AN20" s="20" t="s">
        <v>557</v>
      </c>
    </row>
    <row r="21" spans="1:40" ht="15.75" thickTop="1" thickBot="1" x14ac:dyDescent="0.25">
      <c r="A21" s="19">
        <v>17</v>
      </c>
      <c r="B21" s="20" t="s">
        <v>143</v>
      </c>
      <c r="C21" s="20" t="s">
        <v>144</v>
      </c>
      <c r="D21" s="20" t="s">
        <v>145</v>
      </c>
      <c r="E21" s="20" t="s">
        <v>146</v>
      </c>
      <c r="F21" s="20" t="s">
        <v>147</v>
      </c>
      <c r="G21" s="12"/>
      <c r="H21" s="19">
        <v>17</v>
      </c>
      <c r="I21" s="20" t="s">
        <v>233</v>
      </c>
      <c r="J21" s="20" t="s">
        <v>234</v>
      </c>
      <c r="K21" s="20" t="s">
        <v>235</v>
      </c>
      <c r="L21" s="20" t="s">
        <v>236</v>
      </c>
      <c r="M21" s="20" t="s">
        <v>237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9">
        <v>17</v>
      </c>
      <c r="AC21" s="20" t="s">
        <v>458</v>
      </c>
      <c r="AD21" s="20" t="s">
        <v>459</v>
      </c>
      <c r="AE21" s="20" t="s">
        <v>460</v>
      </c>
      <c r="AF21" s="20" t="s">
        <v>461</v>
      </c>
      <c r="AG21" s="20" t="s">
        <v>462</v>
      </c>
      <c r="AH21" s="12"/>
      <c r="AI21" s="19">
        <v>17</v>
      </c>
      <c r="AJ21" s="20" t="s">
        <v>558</v>
      </c>
      <c r="AK21" s="20" t="s">
        <v>559</v>
      </c>
      <c r="AL21" s="20" t="s">
        <v>560</v>
      </c>
      <c r="AM21" s="20" t="s">
        <v>561</v>
      </c>
      <c r="AN21" s="20" t="s">
        <v>562</v>
      </c>
    </row>
    <row r="22" spans="1:40" ht="15.75" thickTop="1" thickBot="1" x14ac:dyDescent="0.25">
      <c r="A22" s="19">
        <v>18</v>
      </c>
      <c r="B22" s="20" t="s">
        <v>148</v>
      </c>
      <c r="C22" s="20" t="s">
        <v>149</v>
      </c>
      <c r="D22" s="20" t="s">
        <v>150</v>
      </c>
      <c r="E22" s="20" t="s">
        <v>151</v>
      </c>
      <c r="F22" s="20" t="s">
        <v>152</v>
      </c>
      <c r="G22" s="12"/>
      <c r="H22" s="19">
        <v>18</v>
      </c>
      <c r="I22" s="20" t="s">
        <v>238</v>
      </c>
      <c r="J22" s="20" t="s">
        <v>239</v>
      </c>
      <c r="K22" s="20" t="s">
        <v>240</v>
      </c>
      <c r="L22" s="20" t="s">
        <v>241</v>
      </c>
      <c r="M22" s="20" t="s">
        <v>242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9">
        <v>18</v>
      </c>
      <c r="AC22" s="20" t="s">
        <v>463</v>
      </c>
      <c r="AD22" s="20" t="s">
        <v>464</v>
      </c>
      <c r="AE22" s="20" t="s">
        <v>465</v>
      </c>
      <c r="AF22" s="20" t="s">
        <v>466</v>
      </c>
      <c r="AG22" s="20" t="s">
        <v>467</v>
      </c>
      <c r="AH22" s="12"/>
      <c r="AI22" s="19">
        <v>18</v>
      </c>
      <c r="AJ22" s="20" t="s">
        <v>563</v>
      </c>
      <c r="AK22" s="20" t="s">
        <v>564</v>
      </c>
      <c r="AL22" s="20" t="s">
        <v>565</v>
      </c>
      <c r="AM22" s="20" t="s">
        <v>566</v>
      </c>
      <c r="AN22" s="20" t="s">
        <v>567</v>
      </c>
    </row>
    <row r="23" spans="1:40" ht="15.75" thickTop="1" thickBot="1" x14ac:dyDescent="0.25">
      <c r="A23" s="19">
        <v>19</v>
      </c>
      <c r="B23" s="20" t="s">
        <v>617</v>
      </c>
      <c r="C23" s="20" t="s">
        <v>618</v>
      </c>
      <c r="D23" s="20" t="s">
        <v>619</v>
      </c>
      <c r="E23" s="20" t="s">
        <v>620</v>
      </c>
      <c r="F23" s="20" t="s">
        <v>621</v>
      </c>
      <c r="G23" s="12"/>
      <c r="H23" s="19">
        <v>19</v>
      </c>
      <c r="I23" s="20" t="s">
        <v>243</v>
      </c>
      <c r="J23" s="20" t="s">
        <v>244</v>
      </c>
      <c r="K23" s="20" t="s">
        <v>245</v>
      </c>
      <c r="L23" s="20" t="s">
        <v>246</v>
      </c>
      <c r="M23" s="20" t="s">
        <v>247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9">
        <v>19</v>
      </c>
      <c r="AC23" s="20" t="s">
        <v>468</v>
      </c>
      <c r="AD23" s="20" t="s">
        <v>469</v>
      </c>
      <c r="AE23" s="20" t="s">
        <v>470</v>
      </c>
      <c r="AF23" s="20" t="s">
        <v>471</v>
      </c>
      <c r="AG23" s="20" t="s">
        <v>472</v>
      </c>
      <c r="AH23" s="12"/>
      <c r="AI23" s="19">
        <v>19</v>
      </c>
      <c r="AJ23" s="20" t="s">
        <v>568</v>
      </c>
      <c r="AK23" s="20" t="s">
        <v>569</v>
      </c>
      <c r="AL23" s="20" t="s">
        <v>570</v>
      </c>
      <c r="AM23" s="20" t="s">
        <v>571</v>
      </c>
      <c r="AN23" s="20" t="s">
        <v>572</v>
      </c>
    </row>
    <row r="24" spans="1:40" ht="15.75" thickTop="1" thickBo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9">
        <v>20</v>
      </c>
      <c r="AC24" s="20" t="s">
        <v>473</v>
      </c>
      <c r="AD24" s="20" t="s">
        <v>474</v>
      </c>
      <c r="AE24" s="20" t="s">
        <v>475</v>
      </c>
      <c r="AF24" s="20" t="s">
        <v>476</v>
      </c>
      <c r="AG24" s="20" t="s">
        <v>477</v>
      </c>
      <c r="AH24" s="12"/>
      <c r="AI24" s="12"/>
      <c r="AJ24" s="12"/>
      <c r="AK24" s="12"/>
      <c r="AL24" s="12"/>
      <c r="AM24" s="12"/>
      <c r="AN24" s="12"/>
    </row>
    <row r="25" spans="1:40" ht="15" thickTop="1" x14ac:dyDescent="0.2"/>
  </sheetData>
  <mergeCells count="7">
    <mergeCell ref="V3:Z3"/>
    <mergeCell ref="AI3:AN3"/>
    <mergeCell ref="AB3:AG3"/>
    <mergeCell ref="A3:F3"/>
    <mergeCell ref="O3:T3"/>
    <mergeCell ref="H3:M3"/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rightToLeft="1" tabSelected="1" workbookViewId="0">
      <selection activeCell="A8" sqref="A8"/>
    </sheetView>
  </sheetViews>
  <sheetFormatPr defaultRowHeight="14.25" x14ac:dyDescent="0.2"/>
  <cols>
    <col min="1" max="1" width="44" customWidth="1"/>
    <col min="2" max="3" width="14" customWidth="1"/>
    <col min="4" max="4" width="52" customWidth="1"/>
  </cols>
  <sheetData>
    <row r="1" spans="1:4" ht="30" customHeight="1" x14ac:dyDescent="0.2">
      <c r="A1" s="2" t="s">
        <v>582</v>
      </c>
      <c r="B1" s="1"/>
      <c r="C1" s="1"/>
      <c r="D1" s="1"/>
    </row>
    <row r="3" spans="1:4" ht="33.950000000000003" customHeight="1" thickBot="1" x14ac:dyDescent="0.25">
      <c r="A3" s="21" t="s">
        <v>583</v>
      </c>
      <c r="B3" s="21" t="s">
        <v>584</v>
      </c>
      <c r="C3" s="21" t="s">
        <v>585</v>
      </c>
      <c r="D3" s="21" t="s">
        <v>586</v>
      </c>
    </row>
    <row r="4" spans="1:4" ht="17.25" thickTop="1" thickBot="1" x14ac:dyDescent="0.25">
      <c r="A4" s="23" t="s">
        <v>587</v>
      </c>
      <c r="B4" s="24">
        <v>7</v>
      </c>
      <c r="C4" s="23" t="s">
        <v>588</v>
      </c>
      <c r="D4" s="23" t="s">
        <v>589</v>
      </c>
    </row>
    <row r="5" spans="1:4" ht="17.25" thickTop="1" thickBot="1" x14ac:dyDescent="0.25">
      <c r="A5" s="23" t="s">
        <v>590</v>
      </c>
      <c r="B5" s="24">
        <v>6</v>
      </c>
      <c r="C5" s="23" t="s">
        <v>588</v>
      </c>
      <c r="D5" s="23" t="s">
        <v>589</v>
      </c>
    </row>
    <row r="6" spans="1:4" ht="17.25" thickTop="1" thickBot="1" x14ac:dyDescent="0.25">
      <c r="A6" s="23" t="s">
        <v>591</v>
      </c>
      <c r="B6" s="24">
        <v>1</v>
      </c>
      <c r="C6" s="23" t="s">
        <v>588</v>
      </c>
      <c r="D6" s="23" t="s">
        <v>592</v>
      </c>
    </row>
    <row r="7" spans="1:4" ht="17.25" thickTop="1" thickBot="1" x14ac:dyDescent="0.25">
      <c r="A7" s="23" t="s">
        <v>593</v>
      </c>
      <c r="B7" s="23">
        <f>B4+B6</f>
        <v>8</v>
      </c>
      <c r="C7" s="23" t="s">
        <v>588</v>
      </c>
      <c r="D7" s="25" t="s">
        <v>614</v>
      </c>
    </row>
    <row r="8" spans="1:4" ht="17.25" thickTop="1" thickBot="1" x14ac:dyDescent="0.25">
      <c r="A8" s="23" t="s">
        <v>594</v>
      </c>
      <c r="B8" s="23">
        <f>B5+B6</f>
        <v>7</v>
      </c>
      <c r="C8" s="23" t="s">
        <v>588</v>
      </c>
      <c r="D8" s="25" t="s">
        <v>615</v>
      </c>
    </row>
    <row r="9" spans="1:4" ht="17.25" thickTop="1" thickBot="1" x14ac:dyDescent="0.25">
      <c r="A9" s="23" t="s">
        <v>595</v>
      </c>
      <c r="B9" s="24">
        <v>0.6</v>
      </c>
      <c r="C9" s="23" t="s">
        <v>588</v>
      </c>
      <c r="D9" s="23" t="s">
        <v>596</v>
      </c>
    </row>
    <row r="10" spans="1:4" ht="17.25" thickTop="1" thickBot="1" x14ac:dyDescent="0.25">
      <c r="A10" s="23" t="s">
        <v>597</v>
      </c>
      <c r="B10" s="23">
        <f>B7+2*B9</f>
        <v>9.1999999999999993</v>
      </c>
      <c r="C10" s="23" t="s">
        <v>588</v>
      </c>
      <c r="D10" s="23" t="s">
        <v>598</v>
      </c>
    </row>
    <row r="11" spans="1:4" ht="17.25" thickTop="1" thickBot="1" x14ac:dyDescent="0.25">
      <c r="A11" s="23" t="s">
        <v>599</v>
      </c>
      <c r="B11" s="23">
        <f>B8+2*B9</f>
        <v>8.1999999999999993</v>
      </c>
      <c r="C11" s="23" t="s">
        <v>588</v>
      </c>
      <c r="D11" s="23"/>
    </row>
    <row r="12" spans="1:4" ht="17.25" thickTop="1" thickBot="1" x14ac:dyDescent="0.25">
      <c r="A12" s="23" t="s">
        <v>600</v>
      </c>
      <c r="B12" s="23">
        <v>29.7</v>
      </c>
      <c r="C12" s="23" t="s">
        <v>588</v>
      </c>
      <c r="D12" s="23"/>
    </row>
    <row r="13" spans="1:4" ht="17.25" thickTop="1" thickBot="1" x14ac:dyDescent="0.25">
      <c r="A13" s="23" t="s">
        <v>601</v>
      </c>
      <c r="B13" s="23">
        <v>21</v>
      </c>
      <c r="C13" s="23" t="s">
        <v>588</v>
      </c>
      <c r="D13" s="23"/>
    </row>
    <row r="14" spans="1:4" ht="17.25" thickTop="1" thickBot="1" x14ac:dyDescent="0.25">
      <c r="A14" s="23" t="s">
        <v>602</v>
      </c>
      <c r="B14" s="23">
        <f>INT(B12/B10)</f>
        <v>3</v>
      </c>
      <c r="C14" s="23" t="s">
        <v>603</v>
      </c>
      <c r="D14" s="23" t="s">
        <v>604</v>
      </c>
    </row>
    <row r="15" spans="1:4" ht="17.25" thickTop="1" thickBot="1" x14ac:dyDescent="0.25">
      <c r="A15" s="23" t="s">
        <v>605</v>
      </c>
      <c r="B15" s="23">
        <f>INT(B13/B11)</f>
        <v>2</v>
      </c>
      <c r="C15" s="23" t="s">
        <v>603</v>
      </c>
      <c r="D15" s="23"/>
    </row>
    <row r="16" spans="1:4" ht="17.25" thickTop="1" thickBot="1" x14ac:dyDescent="0.25">
      <c r="A16" s="23" t="s">
        <v>606</v>
      </c>
      <c r="B16" s="23">
        <f>B14*B15</f>
        <v>6</v>
      </c>
      <c r="C16" s="23" t="s">
        <v>603</v>
      </c>
      <c r="D16" s="23"/>
    </row>
    <row r="17" spans="1:4" ht="17.25" thickTop="1" thickBot="1" x14ac:dyDescent="0.25">
      <c r="A17" s="23" t="s">
        <v>607</v>
      </c>
      <c r="B17" s="24">
        <v>9</v>
      </c>
      <c r="C17" s="23" t="s">
        <v>603</v>
      </c>
      <c r="D17" s="23" t="s">
        <v>608</v>
      </c>
    </row>
    <row r="18" spans="1:4" ht="17.25" thickTop="1" thickBot="1" x14ac:dyDescent="0.25">
      <c r="A18" s="23" t="s">
        <v>609</v>
      </c>
      <c r="B18" s="23">
        <f>ROUNDUP(B17/B16,0)</f>
        <v>2</v>
      </c>
      <c r="C18" s="23" t="s">
        <v>610</v>
      </c>
      <c r="D18" s="23"/>
    </row>
    <row r="19" spans="1:4" ht="17.25" thickTop="1" thickBot="1" x14ac:dyDescent="0.25">
      <c r="A19" s="23" t="s">
        <v>611</v>
      </c>
      <c r="B19" s="23" t="s">
        <v>612</v>
      </c>
      <c r="C19" s="23"/>
      <c r="D19" s="23" t="s">
        <v>613</v>
      </c>
    </row>
    <row r="20" spans="1:4" ht="15" thickTop="1" x14ac:dyDescent="0.2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التقسيم Layout</vt:lpstr>
      <vt:lpstr>أكواد الليبلات Codes</vt:lpstr>
      <vt:lpstr>مصفوفة الأكواد Matrix</vt:lpstr>
      <vt:lpstr>مواصفات الليبل Label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 521</cp:lastModifiedBy>
  <dcterms:created xsi:type="dcterms:W3CDTF">2026-10-13T11:50:20Z</dcterms:created>
  <dcterms:modified xsi:type="dcterms:W3CDTF">2026-10-13T12:12:18Z</dcterms:modified>
</cp:coreProperties>
</file>